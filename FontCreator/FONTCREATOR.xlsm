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ED9D" lockStructure="1"/>
  <bookViews>
    <workbookView xWindow="240" yWindow="105" windowWidth="20115" windowHeight="8505"/>
  </bookViews>
  <sheets>
    <sheet name="Editor 16x24 bits" sheetId="1" r:id="rId1"/>
    <sheet name="VECTOR" sheetId="5" r:id="rId2"/>
  </sheets>
  <functionGroups builtInGroupCount="17"/>
  <definedNames>
    <definedName name="FILA1">'Editor 16x24 bits'!$Q$29</definedName>
    <definedName name="FILA2">'Editor 16x24 bits'!$Q$30</definedName>
    <definedName name="FILA3">'Editor 16x24 bits'!$Q$31</definedName>
    <definedName name="FILA4">'Editor 16x24 bits'!$Q$32</definedName>
    <definedName name="Row0">'Editor 16x24 bits'!$Q$29</definedName>
  </definedNames>
  <calcPr calcId="145621"/>
</workbook>
</file>

<file path=xl/calcChain.xml><?xml version="1.0" encoding="utf-8"?>
<calcChain xmlns="http://schemas.openxmlformats.org/spreadsheetml/2006/main">
  <c r="A3" i="5" l="1"/>
  <c r="A34" i="5"/>
  <c r="A33" i="5"/>
  <c r="Q29" i="1"/>
  <c r="Q30" i="1"/>
  <c r="A9" i="5" l="1"/>
  <c r="A32" i="5"/>
  <c r="A4" i="5"/>
  <c r="A5" i="5"/>
  <c r="A6" i="5"/>
  <c r="A7" i="5"/>
  <c r="A8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R15" i="1"/>
  <c r="Q2" i="1" l="1"/>
  <c r="R25" i="1"/>
  <c r="R24" i="1"/>
  <c r="R23" i="1"/>
  <c r="R22" i="1"/>
  <c r="R21" i="1"/>
  <c r="R20" i="1"/>
  <c r="R19" i="1"/>
  <c r="R18" i="1"/>
  <c r="R17" i="1"/>
  <c r="R16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Q42" i="1"/>
  <c r="Q33" i="1"/>
  <c r="Q31" i="1"/>
  <c r="Q43" i="1"/>
  <c r="Q37" i="1"/>
  <c r="Q40" i="1"/>
  <c r="Q47" i="1"/>
  <c r="Q48" i="1"/>
  <c r="Q38" i="1"/>
  <c r="Q45" i="1"/>
  <c r="Q39" i="1"/>
  <c r="Q36" i="1"/>
  <c r="Q52" i="1"/>
  <c r="Q49" i="1"/>
  <c r="Q46" i="1"/>
  <c r="Q34" i="1"/>
  <c r="Q44" i="1"/>
  <c r="Q51" i="1"/>
  <c r="Q41" i="1"/>
  <c r="Q32" i="1"/>
  <c r="Q50" i="1"/>
  <c r="Q35" i="1"/>
</calcChain>
</file>

<file path=xl/sharedStrings.xml><?xml version="1.0" encoding="utf-8"?>
<sst xmlns="http://schemas.openxmlformats.org/spreadsheetml/2006/main" count="877" uniqueCount="178">
  <si>
    <t>0x700E</t>
  </si>
  <si>
    <t>0x7FFE</t>
  </si>
  <si>
    <t>0x0000</t>
  </si>
  <si>
    <t>A</t>
  </si>
  <si>
    <t>0x7FF8</t>
  </si>
  <si>
    <t>0x7FFC</t>
  </si>
  <si>
    <t>B</t>
  </si>
  <si>
    <t>0x7800</t>
  </si>
  <si>
    <t>0x7000</t>
  </si>
  <si>
    <t>C</t>
  </si>
  <si>
    <t>0x7038</t>
  </si>
  <si>
    <t>0x701C</t>
  </si>
  <si>
    <t>0x700C</t>
  </si>
  <si>
    <t>0x7006</t>
  </si>
  <si>
    <t>D</t>
  </si>
  <si>
    <t>E</t>
  </si>
  <si>
    <t>F</t>
  </si>
  <si>
    <t>0x707E</t>
  </si>
  <si>
    <t>G</t>
  </si>
  <si>
    <t>0x03C0</t>
  </si>
  <si>
    <t>I</t>
  </si>
  <si>
    <t>0x000E</t>
  </si>
  <si>
    <t>0x7F8E</t>
  </si>
  <si>
    <t>0x780E</t>
  </si>
  <si>
    <t>0x7C1E</t>
  </si>
  <si>
    <t>0x3FFE</t>
  </si>
  <si>
    <t>0x1FFC</t>
  </si>
  <si>
    <t>0x0FF8</t>
  </si>
  <si>
    <t>J</t>
  </si>
  <si>
    <t>H</t>
  </si>
  <si>
    <t>0x007E</t>
  </si>
  <si>
    <t>0x701E</t>
  </si>
  <si>
    <t>0x703E</t>
  </si>
  <si>
    <t>0x7078</t>
  </si>
  <si>
    <t>0x70F0</t>
  </si>
  <si>
    <t>0x71E0</t>
  </si>
  <si>
    <t>0x73C0</t>
  </si>
  <si>
    <t>0x7780</t>
  </si>
  <si>
    <t>0x7F00</t>
  </si>
  <si>
    <t>0x7E00</t>
  </si>
  <si>
    <t>K</t>
  </si>
  <si>
    <t>Copia las celdas y pegalo en tu codigo</t>
  </si>
  <si>
    <t xml:space="preserve">const unsigned int Font[] = { </t>
  </si>
  <si>
    <t>};</t>
  </si>
  <si>
    <t>L</t>
  </si>
  <si>
    <t>M</t>
  </si>
  <si>
    <t>0x781E</t>
  </si>
  <si>
    <t>0x7C3E</t>
  </si>
  <si>
    <t>0x7E7E</t>
  </si>
  <si>
    <t>0x77EE</t>
  </si>
  <si>
    <t>0x718E</t>
  </si>
  <si>
    <t>0x73CE</t>
  </si>
  <si>
    <t>N</t>
  </si>
  <si>
    <t>0x7C0E</t>
  </si>
  <si>
    <t>0x7E0E</t>
  </si>
  <si>
    <t>0x760E</t>
  </si>
  <si>
    <t>0x730E</t>
  </si>
  <si>
    <t>0x70CE</t>
  </si>
  <si>
    <t>0x70EE</t>
  </si>
  <si>
    <t>0x706E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</si>
  <si>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</si>
  <si>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</si>
  <si>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</si>
  <si>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</si>
  <si>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</si>
  <si>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</si>
  <si>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</si>
  <si>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</si>
  <si>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</si>
  <si>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</si>
  <si>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</si>
  <si>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</si>
  <si>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0x0FF0</t>
  </si>
  <si>
    <t>0x1FF8</t>
  </si>
  <si>
    <t>0x3FFC</t>
  </si>
  <si>
    <t>0x3FF8</t>
  </si>
  <si>
    <t>0x1FF0</t>
  </si>
  <si>
    <t>0x7FF0</t>
  </si>
  <si>
    <t>0x71CE</t>
  </si>
  <si>
    <t>0x71EE</t>
  </si>
  <si>
    <t>0x703C</t>
  </si>
  <si>
    <t>0x3FEE</t>
  </si>
  <si>
    <t>0x1FE6</t>
  </si>
  <si>
    <t>0x7380</t>
  </si>
  <si>
    <t>0x71C0</t>
  </si>
  <si>
    <t>0x70E0</t>
  </si>
  <si>
    <t>0x7070</t>
  </si>
  <si>
    <t>0x781C</t>
  </si>
  <si>
    <t>0x3FE0</t>
  </si>
  <si>
    <t>0x000C</t>
  </si>
  <si>
    <t>0x601C</t>
  </si>
  <si>
    <t>0x381C</t>
  </si>
  <si>
    <t>0x1C38</t>
  </si>
  <si>
    <t>0x0E70</t>
  </si>
  <si>
    <t>0x1818</t>
  </si>
  <si>
    <t>0x01C0</t>
  </si>
  <si>
    <t>0x300C</t>
  </si>
  <si>
    <t>0x0810</t>
  </si>
  <si>
    <t>0x0C30</t>
  </si>
  <si>
    <t>0x0660</t>
  </si>
  <si>
    <t>0x1008</t>
  </si>
  <si>
    <t>0x0180</t>
  </si>
  <si>
    <t>0x001C</t>
  </si>
  <si>
    <t>0x0038</t>
  </si>
  <si>
    <t>0x0070</t>
  </si>
  <si>
    <t>0x00E0</t>
  </si>
  <si>
    <t>0x0700</t>
  </si>
  <si>
    <t>0x0E00</t>
  </si>
  <si>
    <t>0x1C00</t>
  </si>
  <si>
    <t>0x3800</t>
  </si>
  <si>
    <t>[</t>
  </si>
  <si>
    <t xml:space="preserve"> \</t>
  </si>
  <si>
    <t>0x3C00</t>
  </si>
  <si>
    <t>0x1E00</t>
  </si>
  <si>
    <t>0x0F00</t>
  </si>
  <si>
    <t>0x0780</t>
  </si>
  <si>
    <t>0x0380</t>
  </si>
  <si>
    <t>0x01E0</t>
  </si>
  <si>
    <t>0x00F0</t>
  </si>
  <si>
    <t>0x0078</t>
  </si>
  <si>
    <t>0x003E</t>
  </si>
  <si>
    <t>]</t>
  </si>
  <si>
    <t>Vector binario</t>
  </si>
  <si>
    <t>Vector Hex</t>
  </si>
  <si>
    <t>Caracter</t>
  </si>
  <si>
    <t>Fila 1</t>
  </si>
  <si>
    <t>Fila 2</t>
  </si>
  <si>
    <t>Fila 3</t>
  </si>
  <si>
    <t>Fila 4</t>
  </si>
  <si>
    <t>Fila 5</t>
  </si>
  <si>
    <t>Fila 6</t>
  </si>
  <si>
    <t>Fila 7</t>
  </si>
  <si>
    <t>Fila 8</t>
  </si>
  <si>
    <t>Fila 9</t>
  </si>
  <si>
    <t>Fila 10</t>
  </si>
  <si>
    <t>Fila 11</t>
  </si>
  <si>
    <t>Fila 12</t>
  </si>
  <si>
    <t>Fila 13</t>
  </si>
  <si>
    <t>Fila 14</t>
  </si>
  <si>
    <t>Fila 15</t>
  </si>
  <si>
    <t>Fila 16</t>
  </si>
  <si>
    <t>Fila 17</t>
  </si>
  <si>
    <t>Fila 18</t>
  </si>
  <si>
    <t>Fila 19</t>
  </si>
  <si>
    <t>Fila 20</t>
  </si>
  <si>
    <t>Fila 21</t>
  </si>
  <si>
    <t>Fila 22</t>
  </si>
  <si>
    <t>Fila 23</t>
  </si>
  <si>
    <t>Fila 24</t>
  </si>
  <si>
    <t>1. Dibuje los caracteres en la matriz usando 1 para</t>
  </si>
  <si>
    <t>rellenar y 0 para vaciar</t>
  </si>
  <si>
    <t>2. Clic en Copiar matriz para generar el nuevo ca-</t>
  </si>
  <si>
    <t>racter.</t>
  </si>
  <si>
    <t>4. Para borrar la matriz haga clic en Borrar Matriz</t>
  </si>
  <si>
    <t xml:space="preserve">5. Para Borrar todos los vectores haga clic en </t>
  </si>
  <si>
    <t>Borrar Vectores</t>
  </si>
  <si>
    <t>Instrucciones:</t>
  </si>
  <si>
    <t>Aplicación desarrollada por Romy Bompart</t>
  </si>
  <si>
    <t>^</t>
  </si>
  <si>
    <t>Reserve Area</t>
  </si>
  <si>
    <t>0x07E0</t>
  </si>
  <si>
    <t>0x00FE</t>
  </si>
  <si>
    <t>Matriz 16 col x 24 filas de puntos de referencia</t>
  </si>
  <si>
    <t>3. Para visualizar un caracter haga clic sobre un</t>
  </si>
  <si>
    <t>caracter de la columna Caracter</t>
  </si>
  <si>
    <t>6. Para borrar un vector, haga clic en cualquier colum-</t>
  </si>
  <si>
    <t>na de nombre Fila 1 a fila 24, y luego clic en Borrar Vector</t>
  </si>
  <si>
    <t>The Factory HKA, CA  - VENEZUELA</t>
  </si>
  <si>
    <t>Last Update: 20, Enero, 2014</t>
  </si>
  <si>
    <t>----------------------------------------</t>
  </si>
  <si>
    <t>0x1FFE</t>
  </si>
  <si>
    <t>misma hoja.</t>
  </si>
  <si>
    <t xml:space="preserve">Copy short cut: Ctrl + C </t>
  </si>
  <si>
    <r>
      <rPr>
        <b/>
        <sz val="11"/>
        <color theme="1"/>
        <rFont val="Calibri"/>
        <family val="2"/>
        <scheme val="minor"/>
      </rPr>
      <t>Para usar el codigo</t>
    </r>
    <r>
      <rPr>
        <sz val="11"/>
        <color theme="1"/>
        <rFont val="Calibri"/>
        <family val="2"/>
        <scheme val="minor"/>
      </rPr>
      <t xml:space="preserve"> </t>
    </r>
  </si>
  <si>
    <t xml:space="preserve">Vaya a la hoja VECTOR y copie el todo como lo indica la </t>
  </si>
  <si>
    <t>Nota: No modifique el area reservada por favor</t>
  </si>
  <si>
    <t>_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</si>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</sst>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0" fillId="0" borderId="1" xfId="0" applyNumberFormat="1" applyFill="1" applyBorder="1" applyAlignment="1" applyProtection="1">
      <alignment horizontal="center"/>
    </xf>
    <xf numFmtId="0" fontId="0" fillId="0" borderId="0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1" fontId="0" fillId="0" borderId="0" xfId="0" applyNumberFormat="1" applyFill="1"/>
    <xf numFmtId="0" fontId="0" fillId="4" borderId="5" xfId="0" applyFill="1" applyBorder="1"/>
    <xf numFmtId="0" fontId="0" fillId="4" borderId="0" xfId="0" applyFill="1" applyBorder="1"/>
    <xf numFmtId="0" fontId="0" fillId="4" borderId="7" xfId="0" applyFill="1" applyBorder="1"/>
    <xf numFmtId="0" fontId="2" fillId="4" borderId="6" xfId="0" applyFont="1" applyFill="1" applyBorder="1" applyProtection="1">
      <protection hidden="1"/>
    </xf>
    <xf numFmtId="0" fontId="2" fillId="4" borderId="9" xfId="0" applyFont="1" applyFill="1" applyBorder="1" applyProtection="1">
      <protection hidden="1"/>
    </xf>
    <xf numFmtId="0" fontId="2" fillId="4" borderId="5" xfId="0" applyFont="1" applyFill="1" applyBorder="1" applyProtection="1">
      <protection hidden="1"/>
    </xf>
    <xf numFmtId="0" fontId="2" fillId="4" borderId="7" xfId="0" applyFont="1" applyFill="1" applyBorder="1" applyProtection="1">
      <protection hidden="1"/>
    </xf>
    <xf numFmtId="0" fontId="0" fillId="0" borderId="12" xfId="0" applyNumberFormat="1" applyFill="1" applyBorder="1" applyAlignment="1" applyProtection="1">
      <alignment horizontal="center"/>
    </xf>
    <xf numFmtId="0" fontId="0" fillId="0" borderId="3" xfId="0" applyFill="1" applyBorder="1"/>
    <xf numFmtId="0" fontId="0" fillId="0" borderId="8" xfId="0" applyFill="1" applyBorder="1"/>
    <xf numFmtId="0" fontId="2" fillId="4" borderId="4" xfId="0" applyFont="1" applyFill="1" applyBorder="1" applyProtection="1">
      <protection hidden="1"/>
    </xf>
    <xf numFmtId="0" fontId="0" fillId="0" borderId="13" xfId="0" applyNumberFormat="1" applyFill="1" applyBorder="1" applyAlignment="1" applyProtection="1">
      <alignment horizontal="center"/>
    </xf>
    <xf numFmtId="0" fontId="4" fillId="2" borderId="15" xfId="0" applyFont="1" applyFill="1" applyBorder="1"/>
    <xf numFmtId="0" fontId="4" fillId="2" borderId="16" xfId="0" applyFont="1" applyFill="1" applyBorder="1"/>
    <xf numFmtId="0" fontId="4" fillId="2" borderId="5" xfId="0" applyFont="1" applyFill="1" applyBorder="1"/>
    <xf numFmtId="0" fontId="0" fillId="2" borderId="0" xfId="0" quotePrefix="1" applyFill="1" applyBorder="1"/>
    <xf numFmtId="0" fontId="4" fillId="2" borderId="14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5" fillId="0" borderId="10" xfId="0" applyFont="1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3" fillId="5" borderId="7" xfId="0" applyFont="1" applyFill="1" applyBorder="1"/>
    <xf numFmtId="0" fontId="0" fillId="5" borderId="8" xfId="0" applyFill="1" applyBorder="1"/>
    <xf numFmtId="0" fontId="0" fillId="5" borderId="9" xfId="0" applyFill="1" applyBorder="1"/>
    <xf numFmtId="0" fontId="6" fillId="0" borderId="0" xfId="0" applyFont="1" applyAlignment="1">
      <alignment vertical="center"/>
    </xf>
  </cellXfs>
  <cellStyles count="1">
    <cellStyle name="Normal" xfId="0" builtinId="0"/>
  </cellStyles>
  <dxfs count="2"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25</xdr:row>
          <xdr:rowOff>28575</xdr:rowOff>
        </xdr:from>
        <xdr:to>
          <xdr:col>5</xdr:col>
          <xdr:colOff>114300</xdr:colOff>
          <xdr:row>26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</a:rPr>
                <a:t>Borrar Matriz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28575</xdr:rowOff>
        </xdr:from>
        <xdr:to>
          <xdr:col>11</xdr:col>
          <xdr:colOff>38100</xdr:colOff>
          <xdr:row>26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</a:rPr>
                <a:t>Copiar Matriz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25</xdr:row>
          <xdr:rowOff>28575</xdr:rowOff>
        </xdr:from>
        <xdr:to>
          <xdr:col>16</xdr:col>
          <xdr:colOff>476250</xdr:colOff>
          <xdr:row>26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</a:rPr>
                <a:t>Borrar todos Vectores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25</xdr:row>
          <xdr:rowOff>28575</xdr:rowOff>
        </xdr:from>
        <xdr:to>
          <xdr:col>17</xdr:col>
          <xdr:colOff>676275</xdr:colOff>
          <xdr:row>26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</a:rPr>
                <a:t>Borrar Vector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Q52"/>
  <sheetViews>
    <sheetView tabSelected="1" zoomScale="60" zoomScaleNormal="60" workbookViewId="0">
      <pane ySplit="1" topLeftCell="A2" activePane="bottomLeft" state="frozen"/>
      <selection pane="bottomLeft" activeCell="A2" sqref="A2"/>
    </sheetView>
  </sheetViews>
  <sheetFormatPr baseColWidth="10" defaultColWidth="9.140625" defaultRowHeight="15" x14ac:dyDescent="0.25"/>
  <cols>
    <col min="1" max="16" width="3.7109375" style="2" customWidth="1"/>
    <col min="17" max="17" width="17.7109375" style="2" customWidth="1"/>
    <col min="18" max="18" width="14" style="2" customWidth="1"/>
    <col min="19" max="19" width="11.42578125" style="2" customWidth="1"/>
    <col min="20" max="20" width="8.85546875" style="2" customWidth="1"/>
    <col min="21" max="16384" width="9.140625" style="2"/>
  </cols>
  <sheetData>
    <row r="1" spans="1:43" ht="15.75" thickBot="1" x14ac:dyDescent="0.3">
      <c r="A1" s="31" t="s">
        <v>162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27" t="s">
        <v>122</v>
      </c>
      <c r="R1" s="27" t="s">
        <v>123</v>
      </c>
      <c r="S1" s="27" t="s">
        <v>124</v>
      </c>
      <c r="T1" s="27" t="s">
        <v>125</v>
      </c>
      <c r="U1" s="27" t="s">
        <v>126</v>
      </c>
      <c r="V1" s="27" t="s">
        <v>127</v>
      </c>
      <c r="W1" s="27" t="s">
        <v>128</v>
      </c>
      <c r="X1" s="27" t="s">
        <v>129</v>
      </c>
      <c r="Y1" s="27" t="s">
        <v>130</v>
      </c>
      <c r="Z1" s="27" t="s">
        <v>131</v>
      </c>
      <c r="AA1" s="27" t="s">
        <v>132</v>
      </c>
      <c r="AB1" s="27" t="s">
        <v>133</v>
      </c>
      <c r="AC1" s="27" t="s">
        <v>134</v>
      </c>
      <c r="AD1" s="27" t="s">
        <v>135</v>
      </c>
      <c r="AE1" s="27" t="s">
        <v>136</v>
      </c>
      <c r="AF1" s="27" t="s">
        <v>137</v>
      </c>
      <c r="AG1" s="27" t="s">
        <v>138</v>
      </c>
      <c r="AH1" s="27" t="s">
        <v>139</v>
      </c>
      <c r="AI1" s="27" t="s">
        <v>140</v>
      </c>
      <c r="AJ1" s="27" t="s">
        <v>141</v>
      </c>
      <c r="AK1" s="27" t="s">
        <v>142</v>
      </c>
      <c r="AL1" s="27" t="s">
        <v>143</v>
      </c>
      <c r="AM1" s="27" t="s">
        <v>144</v>
      </c>
      <c r="AN1" s="27" t="s">
        <v>145</v>
      </c>
      <c r="AO1" s="27" t="s">
        <v>146</v>
      </c>
      <c r="AP1" s="27" t="s">
        <v>147</v>
      </c>
      <c r="AQ1" s="28" t="s">
        <v>148</v>
      </c>
    </row>
    <row r="2" spans="1:43" x14ac:dyDescent="0.25">
      <c r="A2" s="26">
        <v>0</v>
      </c>
      <c r="B2" s="26">
        <v>0</v>
      </c>
      <c r="C2" s="26">
        <v>0</v>
      </c>
      <c r="D2" s="26">
        <v>0</v>
      </c>
      <c r="E2" s="26">
        <v>0</v>
      </c>
      <c r="F2" s="26">
        <v>0</v>
      </c>
      <c r="G2" s="26">
        <v>0</v>
      </c>
      <c r="H2" s="26">
        <v>0</v>
      </c>
      <c r="I2" s="26">
        <v>0</v>
      </c>
      <c r="J2" s="26">
        <v>0</v>
      </c>
      <c r="K2" s="26">
        <v>0</v>
      </c>
      <c r="L2" s="26">
        <v>0</v>
      </c>
      <c r="M2" s="26">
        <v>0</v>
      </c>
      <c r="N2" s="26">
        <v>0</v>
      </c>
      <c r="O2" s="26">
        <v>0</v>
      </c>
      <c r="P2" s="26">
        <v>0</v>
      </c>
      <c r="Q2" s="1" t="str">
        <f>CONCATENATE(A2,B2,C2,D2,E2,F2,G2,H2,I2,J2,K2,L2,M2,N2,O2,P2)</f>
        <v>0000000000000000</v>
      </c>
      <c r="R2" s="2" t="str">
        <f>BinStr2HexStr(Q2)</f>
        <v>0x0000</v>
      </c>
      <c r="S2" s="4" t="s">
        <v>3</v>
      </c>
      <c r="T2" s="4" t="s">
        <v>2</v>
      </c>
      <c r="U2" s="4" t="s">
        <v>73</v>
      </c>
      <c r="V2" s="4" t="s">
        <v>74</v>
      </c>
      <c r="W2" s="4" t="s">
        <v>1</v>
      </c>
      <c r="X2" s="4" t="s">
        <v>0</v>
      </c>
      <c r="Y2" s="4" t="s">
        <v>0</v>
      </c>
      <c r="Z2" s="4" t="s">
        <v>0</v>
      </c>
      <c r="AA2" s="4" t="s">
        <v>0</v>
      </c>
      <c r="AB2" s="4" t="s">
        <v>0</v>
      </c>
      <c r="AC2" s="4" t="s">
        <v>0</v>
      </c>
      <c r="AD2" s="4" t="s">
        <v>1</v>
      </c>
      <c r="AE2" s="4" t="s">
        <v>1</v>
      </c>
      <c r="AF2" s="4" t="s">
        <v>1</v>
      </c>
      <c r="AG2" s="4" t="s">
        <v>0</v>
      </c>
      <c r="AH2" s="4" t="s">
        <v>0</v>
      </c>
      <c r="AI2" s="4" t="s">
        <v>0</v>
      </c>
      <c r="AJ2" s="4" t="s">
        <v>0</v>
      </c>
      <c r="AK2" s="4" t="s">
        <v>0</v>
      </c>
      <c r="AL2" s="4" t="s">
        <v>0</v>
      </c>
      <c r="AM2" s="4" t="s">
        <v>0</v>
      </c>
      <c r="AN2" s="4" t="s">
        <v>0</v>
      </c>
      <c r="AO2" s="4" t="s">
        <v>0</v>
      </c>
      <c r="AP2" s="4" t="s">
        <v>0</v>
      </c>
      <c r="AQ2" s="4" t="s">
        <v>2</v>
      </c>
    </row>
    <row r="3" spans="1:43" x14ac:dyDescent="0.25">
      <c r="A3" s="3">
        <v>0</v>
      </c>
      <c r="B3" s="3">
        <v>0</v>
      </c>
      <c r="C3" s="3">
        <v>0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1</v>
      </c>
      <c r="J3" s="3">
        <v>1</v>
      </c>
      <c r="K3" s="3">
        <v>1</v>
      </c>
      <c r="L3" s="3">
        <v>1</v>
      </c>
      <c r="M3" s="3">
        <v>1</v>
      </c>
      <c r="N3" s="3">
        <v>0</v>
      </c>
      <c r="O3" s="3">
        <v>0</v>
      </c>
      <c r="P3" s="3">
        <v>0</v>
      </c>
      <c r="Q3" s="1" t="str">
        <f t="shared" ref="Q3:Q25" si="0">CONCATENATE(A3,B3,C3,D3,E3,F3,G3,H3,I3,J3,K3,L3,M3,N3,O3,P3)</f>
        <v>0001111111111000</v>
      </c>
      <c r="R3" s="2" t="str">
        <f>BinStr2HexStr(Q3)</f>
        <v>0x1FF8</v>
      </c>
      <c r="S3" s="4" t="s">
        <v>6</v>
      </c>
      <c r="T3" s="2" t="s">
        <v>2</v>
      </c>
      <c r="U3" s="2" t="s">
        <v>4</v>
      </c>
      <c r="V3" s="2" t="s">
        <v>5</v>
      </c>
      <c r="W3" s="2" t="s">
        <v>5</v>
      </c>
      <c r="X3" s="2" t="s">
        <v>0</v>
      </c>
      <c r="Y3" s="2" t="s">
        <v>13</v>
      </c>
      <c r="Z3" s="2" t="s">
        <v>13</v>
      </c>
      <c r="AA3" s="2" t="s">
        <v>13</v>
      </c>
      <c r="AB3" s="2" t="s">
        <v>13</v>
      </c>
      <c r="AC3" s="2" t="s">
        <v>13</v>
      </c>
      <c r="AD3" s="2" t="s">
        <v>0</v>
      </c>
      <c r="AE3" s="2" t="s">
        <v>5</v>
      </c>
      <c r="AF3" s="2" t="s">
        <v>4</v>
      </c>
      <c r="AG3" s="2" t="s">
        <v>5</v>
      </c>
      <c r="AH3" s="2" t="s">
        <v>0</v>
      </c>
      <c r="AI3" s="2" t="s">
        <v>13</v>
      </c>
      <c r="AJ3" s="2" t="s">
        <v>13</v>
      </c>
      <c r="AK3" s="2" t="s">
        <v>13</v>
      </c>
      <c r="AL3" s="2" t="s">
        <v>13</v>
      </c>
      <c r="AM3" s="2" t="s">
        <v>0</v>
      </c>
      <c r="AN3" s="2" t="s">
        <v>1</v>
      </c>
      <c r="AO3" s="2" t="s">
        <v>5</v>
      </c>
      <c r="AP3" s="2" t="s">
        <v>4</v>
      </c>
      <c r="AQ3" s="2" t="s">
        <v>2</v>
      </c>
    </row>
    <row r="4" spans="1:43" x14ac:dyDescent="0.25">
      <c r="A4" s="3">
        <v>0</v>
      </c>
      <c r="B4" s="3">
        <v>0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0</v>
      </c>
      <c r="P4" s="3">
        <v>0</v>
      </c>
      <c r="Q4" s="1" t="str">
        <f t="shared" si="0"/>
        <v>0011111111111100</v>
      </c>
      <c r="R4" s="2" t="str">
        <f t="shared" ref="R4:R25" si="1">BinStr2HexStr(Q4)</f>
        <v>0x3FFC</v>
      </c>
      <c r="S4" s="4" t="s">
        <v>9</v>
      </c>
      <c r="T4" s="2" t="s">
        <v>2</v>
      </c>
      <c r="U4" s="2" t="s">
        <v>73</v>
      </c>
      <c r="V4" s="2" t="s">
        <v>74</v>
      </c>
      <c r="W4" s="2" t="s">
        <v>1</v>
      </c>
      <c r="X4" s="2" t="s">
        <v>46</v>
      </c>
      <c r="Y4" s="2" t="s">
        <v>0</v>
      </c>
      <c r="Z4" s="2" t="s">
        <v>8</v>
      </c>
      <c r="AA4" s="2" t="s">
        <v>8</v>
      </c>
      <c r="AB4" s="2" t="s">
        <v>8</v>
      </c>
      <c r="AC4" s="2" t="s">
        <v>8</v>
      </c>
      <c r="AD4" s="2" t="s">
        <v>8</v>
      </c>
      <c r="AE4" s="2" t="s">
        <v>8</v>
      </c>
      <c r="AF4" s="2" t="s">
        <v>8</v>
      </c>
      <c r="AG4" s="2" t="s">
        <v>8</v>
      </c>
      <c r="AH4" s="2" t="s">
        <v>8</v>
      </c>
      <c r="AI4" s="2" t="s">
        <v>8</v>
      </c>
      <c r="AJ4" s="2" t="s">
        <v>8</v>
      </c>
      <c r="AK4" s="2" t="s">
        <v>8</v>
      </c>
      <c r="AL4" s="2" t="s">
        <v>0</v>
      </c>
      <c r="AM4" s="2" t="s">
        <v>46</v>
      </c>
      <c r="AN4" s="2" t="s">
        <v>1</v>
      </c>
      <c r="AO4" s="2" t="s">
        <v>74</v>
      </c>
      <c r="AP4" s="2" t="s">
        <v>73</v>
      </c>
      <c r="AQ4" s="2" t="s">
        <v>2</v>
      </c>
    </row>
    <row r="5" spans="1:43" x14ac:dyDescent="0.25">
      <c r="A5" s="3">
        <v>0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0</v>
      </c>
      <c r="Q5" s="1" t="str">
        <f t="shared" si="0"/>
        <v>0111111111111110</v>
      </c>
      <c r="R5" s="2" t="str">
        <f t="shared" si="1"/>
        <v>0x7FFE</v>
      </c>
      <c r="S5" s="4" t="s">
        <v>14</v>
      </c>
      <c r="T5" s="4" t="s">
        <v>2</v>
      </c>
      <c r="U5" s="4" t="s">
        <v>4</v>
      </c>
      <c r="V5" s="4" t="s">
        <v>4</v>
      </c>
      <c r="W5" s="4" t="s">
        <v>4</v>
      </c>
      <c r="X5" s="4" t="s">
        <v>10</v>
      </c>
      <c r="Y5" s="4" t="s">
        <v>11</v>
      </c>
      <c r="Z5" s="4" t="s">
        <v>11</v>
      </c>
      <c r="AA5" s="4" t="s">
        <v>12</v>
      </c>
      <c r="AB5" s="4" t="s">
        <v>0</v>
      </c>
      <c r="AC5" s="4" t="s">
        <v>0</v>
      </c>
      <c r="AD5" s="4" t="s">
        <v>13</v>
      </c>
      <c r="AE5" s="4" t="s">
        <v>13</v>
      </c>
      <c r="AF5" s="4" t="s">
        <v>13</v>
      </c>
      <c r="AG5" s="4" t="s">
        <v>13</v>
      </c>
      <c r="AH5" s="4" t="s">
        <v>0</v>
      </c>
      <c r="AI5" s="4" t="s">
        <v>0</v>
      </c>
      <c r="AJ5" s="4" t="s">
        <v>12</v>
      </c>
      <c r="AK5" s="4" t="s">
        <v>11</v>
      </c>
      <c r="AL5" s="4" t="s">
        <v>11</v>
      </c>
      <c r="AM5" s="4" t="s">
        <v>10</v>
      </c>
      <c r="AN5" s="4" t="s">
        <v>4</v>
      </c>
      <c r="AO5" s="4" t="s">
        <v>4</v>
      </c>
      <c r="AP5" s="4" t="s">
        <v>4</v>
      </c>
      <c r="AQ5" s="4" t="s">
        <v>2</v>
      </c>
    </row>
    <row r="6" spans="1:43" x14ac:dyDescent="0.25">
      <c r="A6" s="3">
        <v>0</v>
      </c>
      <c r="B6" s="3">
        <v>1</v>
      </c>
      <c r="C6" s="3">
        <v>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1</v>
      </c>
      <c r="N6" s="3">
        <v>1</v>
      </c>
      <c r="O6" s="3">
        <v>1</v>
      </c>
      <c r="P6" s="3">
        <v>0</v>
      </c>
      <c r="Q6" s="1" t="str">
        <f t="shared" si="0"/>
        <v>0111000000001110</v>
      </c>
      <c r="R6" s="2" t="str">
        <f t="shared" si="1"/>
        <v>0x700E</v>
      </c>
      <c r="S6" s="4" t="s">
        <v>15</v>
      </c>
      <c r="T6" s="2" t="s">
        <v>2</v>
      </c>
      <c r="U6" s="2" t="s">
        <v>1</v>
      </c>
      <c r="V6" s="2" t="s">
        <v>1</v>
      </c>
      <c r="W6" s="2" t="s">
        <v>1</v>
      </c>
      <c r="X6" s="2" t="s">
        <v>8</v>
      </c>
      <c r="Y6" s="2" t="s">
        <v>8</v>
      </c>
      <c r="Z6" s="2" t="s">
        <v>8</v>
      </c>
      <c r="AA6" s="2" t="s">
        <v>8</v>
      </c>
      <c r="AB6" s="2" t="s">
        <v>8</v>
      </c>
      <c r="AC6" s="2" t="s">
        <v>8</v>
      </c>
      <c r="AD6" s="2" t="s">
        <v>4</v>
      </c>
      <c r="AE6" s="2" t="s">
        <v>4</v>
      </c>
      <c r="AF6" s="2" t="s">
        <v>4</v>
      </c>
      <c r="AG6" s="2" t="s">
        <v>8</v>
      </c>
      <c r="AH6" s="2" t="s">
        <v>8</v>
      </c>
      <c r="AI6" s="2" t="s">
        <v>8</v>
      </c>
      <c r="AJ6" s="2" t="s">
        <v>8</v>
      </c>
      <c r="AK6" s="2" t="s">
        <v>8</v>
      </c>
      <c r="AL6" s="2" t="s">
        <v>8</v>
      </c>
      <c r="AM6" s="2" t="s">
        <v>8</v>
      </c>
      <c r="AN6" s="2" t="s">
        <v>1</v>
      </c>
      <c r="AO6" s="2" t="s">
        <v>1</v>
      </c>
      <c r="AP6" s="2" t="s">
        <v>1</v>
      </c>
      <c r="AQ6" s="2" t="s">
        <v>2</v>
      </c>
    </row>
    <row r="7" spans="1:43" x14ac:dyDescent="0.25">
      <c r="A7" s="3">
        <v>0</v>
      </c>
      <c r="B7" s="3">
        <v>1</v>
      </c>
      <c r="C7" s="3">
        <v>1</v>
      </c>
      <c r="D7" s="3">
        <v>1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1</v>
      </c>
      <c r="N7" s="3">
        <v>1</v>
      </c>
      <c r="O7" s="3">
        <v>1</v>
      </c>
      <c r="P7" s="3">
        <v>0</v>
      </c>
      <c r="Q7" s="1" t="str">
        <f t="shared" si="0"/>
        <v>0111000000001110</v>
      </c>
      <c r="R7" s="2" t="str">
        <f t="shared" si="1"/>
        <v>0x700E</v>
      </c>
      <c r="S7" s="4" t="s">
        <v>16</v>
      </c>
      <c r="T7" s="4" t="s">
        <v>2</v>
      </c>
      <c r="U7" s="4" t="s">
        <v>1</v>
      </c>
      <c r="V7" s="4" t="s">
        <v>1</v>
      </c>
      <c r="W7" s="4" t="s">
        <v>1</v>
      </c>
      <c r="X7" s="4" t="s">
        <v>8</v>
      </c>
      <c r="Y7" s="4" t="s">
        <v>8</v>
      </c>
      <c r="Z7" s="4" t="s">
        <v>8</v>
      </c>
      <c r="AA7" s="4" t="s">
        <v>8</v>
      </c>
      <c r="AB7" s="4" t="s">
        <v>8</v>
      </c>
      <c r="AC7" s="4" t="s">
        <v>8</v>
      </c>
      <c r="AD7" s="4" t="s">
        <v>4</v>
      </c>
      <c r="AE7" s="4" t="s">
        <v>4</v>
      </c>
      <c r="AF7" s="4" t="s">
        <v>4</v>
      </c>
      <c r="AG7" s="4" t="s">
        <v>8</v>
      </c>
      <c r="AH7" s="4" t="s">
        <v>8</v>
      </c>
      <c r="AI7" s="4" t="s">
        <v>8</v>
      </c>
      <c r="AJ7" s="4" t="s">
        <v>8</v>
      </c>
      <c r="AK7" s="4" t="s">
        <v>8</v>
      </c>
      <c r="AL7" s="4" t="s">
        <v>8</v>
      </c>
      <c r="AM7" s="4" t="s">
        <v>8</v>
      </c>
      <c r="AN7" s="4" t="s">
        <v>8</v>
      </c>
      <c r="AO7" s="4" t="s">
        <v>8</v>
      </c>
      <c r="AP7" s="4" t="s">
        <v>8</v>
      </c>
      <c r="AQ7" s="4" t="s">
        <v>2</v>
      </c>
    </row>
    <row r="8" spans="1:43" x14ac:dyDescent="0.25">
      <c r="A8" s="3">
        <v>0</v>
      </c>
      <c r="B8" s="3">
        <v>1</v>
      </c>
      <c r="C8" s="3">
        <v>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1</v>
      </c>
      <c r="N8" s="3">
        <v>1</v>
      </c>
      <c r="O8" s="3">
        <v>1</v>
      </c>
      <c r="P8" s="3">
        <v>0</v>
      </c>
      <c r="Q8" s="1" t="str">
        <f t="shared" si="0"/>
        <v>0111000000001110</v>
      </c>
      <c r="R8" s="2" t="str">
        <f t="shared" si="1"/>
        <v>0x700E</v>
      </c>
      <c r="S8" s="4" t="s">
        <v>18</v>
      </c>
      <c r="T8" s="2" t="s">
        <v>2</v>
      </c>
      <c r="U8" s="2" t="s">
        <v>170</v>
      </c>
      <c r="V8" s="2" t="s">
        <v>25</v>
      </c>
      <c r="W8" s="2" t="s">
        <v>1</v>
      </c>
      <c r="X8" s="2" t="s">
        <v>8</v>
      </c>
      <c r="Y8" s="2" t="s">
        <v>8</v>
      </c>
      <c r="Z8" s="2" t="s">
        <v>8</v>
      </c>
      <c r="AA8" s="2" t="s">
        <v>8</v>
      </c>
      <c r="AB8" s="2" t="s">
        <v>8</v>
      </c>
      <c r="AC8" s="2" t="s">
        <v>8</v>
      </c>
      <c r="AD8" s="2" t="s">
        <v>8</v>
      </c>
      <c r="AE8" s="2" t="s">
        <v>8</v>
      </c>
      <c r="AF8" s="2" t="s">
        <v>8</v>
      </c>
      <c r="AG8" s="2" t="s">
        <v>8</v>
      </c>
      <c r="AH8" s="2" t="s">
        <v>17</v>
      </c>
      <c r="AI8" s="2" t="s">
        <v>17</v>
      </c>
      <c r="AJ8" s="2" t="s">
        <v>17</v>
      </c>
      <c r="AK8" s="2" t="s">
        <v>0</v>
      </c>
      <c r="AL8" s="2" t="s">
        <v>0</v>
      </c>
      <c r="AM8" s="2" t="s">
        <v>0</v>
      </c>
      <c r="AN8" s="2" t="s">
        <v>1</v>
      </c>
      <c r="AO8" s="2" t="s">
        <v>74</v>
      </c>
      <c r="AP8" s="2" t="s">
        <v>73</v>
      </c>
      <c r="AQ8" s="2" t="s">
        <v>2</v>
      </c>
    </row>
    <row r="9" spans="1:43" x14ac:dyDescent="0.25">
      <c r="A9" s="3">
        <v>0</v>
      </c>
      <c r="B9" s="3">
        <v>1</v>
      </c>
      <c r="C9" s="3">
        <v>1</v>
      </c>
      <c r="D9" s="3">
        <v>1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1</v>
      </c>
      <c r="N9" s="3">
        <v>1</v>
      </c>
      <c r="O9" s="3">
        <v>1</v>
      </c>
      <c r="P9" s="3">
        <v>0</v>
      </c>
      <c r="Q9" s="1" t="str">
        <f t="shared" si="0"/>
        <v>0111000000001110</v>
      </c>
      <c r="R9" s="2" t="str">
        <f t="shared" si="1"/>
        <v>0x700E</v>
      </c>
      <c r="S9" s="4" t="s">
        <v>29</v>
      </c>
      <c r="T9" s="4" t="s">
        <v>2</v>
      </c>
      <c r="U9" s="4" t="s">
        <v>0</v>
      </c>
      <c r="V9" s="4" t="s">
        <v>0</v>
      </c>
      <c r="W9" s="4" t="s">
        <v>0</v>
      </c>
      <c r="X9" s="4" t="s">
        <v>0</v>
      </c>
      <c r="Y9" s="4" t="s">
        <v>0</v>
      </c>
      <c r="Z9" s="4" t="s">
        <v>0</v>
      </c>
      <c r="AA9" s="4" t="s">
        <v>0</v>
      </c>
      <c r="AB9" s="4" t="s">
        <v>0</v>
      </c>
      <c r="AC9" s="4" t="s">
        <v>0</v>
      </c>
      <c r="AD9" s="4" t="s">
        <v>0</v>
      </c>
      <c r="AE9" s="4" t="s">
        <v>1</v>
      </c>
      <c r="AF9" s="4" t="s">
        <v>1</v>
      </c>
      <c r="AG9" s="4" t="s">
        <v>1</v>
      </c>
      <c r="AH9" s="4" t="s">
        <v>0</v>
      </c>
      <c r="AI9" s="4" t="s">
        <v>0</v>
      </c>
      <c r="AJ9" s="4" t="s">
        <v>0</v>
      </c>
      <c r="AK9" s="4" t="s">
        <v>0</v>
      </c>
      <c r="AL9" s="4" t="s">
        <v>0</v>
      </c>
      <c r="AM9" s="4" t="s">
        <v>0</v>
      </c>
      <c r="AN9" s="4" t="s">
        <v>0</v>
      </c>
      <c r="AO9" s="4" t="s">
        <v>0</v>
      </c>
      <c r="AP9" s="4" t="s">
        <v>0</v>
      </c>
      <c r="AQ9" s="4" t="s">
        <v>2</v>
      </c>
    </row>
    <row r="10" spans="1:43" x14ac:dyDescent="0.25">
      <c r="A10" s="3">
        <v>0</v>
      </c>
      <c r="B10" s="3">
        <v>1</v>
      </c>
      <c r="C10" s="3">
        <v>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</v>
      </c>
      <c r="N10" s="3">
        <v>1</v>
      </c>
      <c r="O10" s="3">
        <v>1</v>
      </c>
      <c r="P10" s="3">
        <v>0</v>
      </c>
      <c r="Q10" s="1" t="str">
        <f t="shared" si="0"/>
        <v>0111000000001110</v>
      </c>
      <c r="R10" s="2" t="str">
        <f t="shared" si="1"/>
        <v>0x700E</v>
      </c>
      <c r="S10" s="4" t="s">
        <v>20</v>
      </c>
      <c r="T10" s="4" t="s">
        <v>2</v>
      </c>
      <c r="U10" s="4" t="s">
        <v>1</v>
      </c>
      <c r="V10" s="4" t="s">
        <v>1</v>
      </c>
      <c r="W10" s="4" t="s">
        <v>1</v>
      </c>
      <c r="X10" s="4" t="s">
        <v>1</v>
      </c>
      <c r="Y10" s="4" t="s">
        <v>19</v>
      </c>
      <c r="Z10" s="4" t="s">
        <v>19</v>
      </c>
      <c r="AA10" s="4" t="s">
        <v>19</v>
      </c>
      <c r="AB10" s="4" t="s">
        <v>19</v>
      </c>
      <c r="AC10" s="4" t="s">
        <v>19</v>
      </c>
      <c r="AD10" s="4" t="s">
        <v>19</v>
      </c>
      <c r="AE10" s="4" t="s">
        <v>19</v>
      </c>
      <c r="AF10" s="4" t="s">
        <v>19</v>
      </c>
      <c r="AG10" s="4" t="s">
        <v>19</v>
      </c>
      <c r="AH10" s="4" t="s">
        <v>19</v>
      </c>
      <c r="AI10" s="4" t="s">
        <v>19</v>
      </c>
      <c r="AJ10" s="4" t="s">
        <v>19</v>
      </c>
      <c r="AK10" s="4" t="s">
        <v>19</v>
      </c>
      <c r="AL10" s="4" t="s">
        <v>19</v>
      </c>
      <c r="AM10" s="4" t="s">
        <v>1</v>
      </c>
      <c r="AN10" s="4" t="s">
        <v>1</v>
      </c>
      <c r="AO10" s="4" t="s">
        <v>1</v>
      </c>
      <c r="AP10" s="4" t="s">
        <v>1</v>
      </c>
      <c r="AQ10" s="4" t="s">
        <v>2</v>
      </c>
    </row>
    <row r="11" spans="1:43" x14ac:dyDescent="0.25">
      <c r="A11" s="3">
        <v>0</v>
      </c>
      <c r="B11" s="3">
        <v>1</v>
      </c>
      <c r="C11" s="3">
        <v>1</v>
      </c>
      <c r="D11" s="3">
        <v>1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1</v>
      </c>
      <c r="N11" s="3">
        <v>1</v>
      </c>
      <c r="O11" s="3">
        <v>1</v>
      </c>
      <c r="P11" s="3">
        <v>0</v>
      </c>
      <c r="Q11" s="1" t="str">
        <f t="shared" si="0"/>
        <v>0111000000001110</v>
      </c>
      <c r="R11" s="2" t="str">
        <f t="shared" si="1"/>
        <v>0x700E</v>
      </c>
      <c r="S11" s="4" t="s">
        <v>28</v>
      </c>
      <c r="T11" s="4" t="s">
        <v>2</v>
      </c>
      <c r="U11" s="4" t="s">
        <v>30</v>
      </c>
      <c r="V11" s="4" t="s">
        <v>30</v>
      </c>
      <c r="W11" s="4" t="s">
        <v>30</v>
      </c>
      <c r="X11" s="4" t="s">
        <v>21</v>
      </c>
      <c r="Y11" s="4" t="s">
        <v>21</v>
      </c>
      <c r="Z11" s="4" t="s">
        <v>21</v>
      </c>
      <c r="AA11" s="4" t="s">
        <v>21</v>
      </c>
      <c r="AB11" s="4" t="s">
        <v>21</v>
      </c>
      <c r="AC11" s="4" t="s">
        <v>21</v>
      </c>
      <c r="AD11" s="4" t="s">
        <v>21</v>
      </c>
      <c r="AE11" s="4" t="s">
        <v>21</v>
      </c>
      <c r="AF11" s="4" t="s">
        <v>22</v>
      </c>
      <c r="AG11" s="4" t="s">
        <v>22</v>
      </c>
      <c r="AH11" s="4" t="s">
        <v>22</v>
      </c>
      <c r="AI11" s="4" t="s">
        <v>0</v>
      </c>
      <c r="AJ11" s="4" t="s">
        <v>0</v>
      </c>
      <c r="AK11" s="4" t="s">
        <v>0</v>
      </c>
      <c r="AL11" s="4" t="s">
        <v>23</v>
      </c>
      <c r="AM11" s="4" t="s">
        <v>24</v>
      </c>
      <c r="AN11" s="4" t="s">
        <v>25</v>
      </c>
      <c r="AO11" s="4" t="s">
        <v>26</v>
      </c>
      <c r="AP11" s="4" t="s">
        <v>27</v>
      </c>
      <c r="AQ11" s="4" t="s">
        <v>2</v>
      </c>
    </row>
    <row r="12" spans="1:43" x14ac:dyDescent="0.25">
      <c r="A12" s="3">
        <v>0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1</v>
      </c>
      <c r="I12" s="3">
        <v>1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  <c r="P12" s="3">
        <v>0</v>
      </c>
      <c r="Q12" s="1" t="str">
        <f t="shared" si="0"/>
        <v>0111111111111110</v>
      </c>
      <c r="R12" s="2" t="str">
        <f t="shared" si="1"/>
        <v>0x7FFE</v>
      </c>
      <c r="S12" s="4" t="s">
        <v>40</v>
      </c>
      <c r="T12" s="2" t="s">
        <v>2</v>
      </c>
      <c r="U12" s="2" t="s">
        <v>0</v>
      </c>
      <c r="V12" s="2" t="s">
        <v>0</v>
      </c>
      <c r="W12" s="2" t="s">
        <v>31</v>
      </c>
      <c r="X12" s="2" t="s">
        <v>32</v>
      </c>
      <c r="Y12" s="2" t="s">
        <v>33</v>
      </c>
      <c r="Z12" s="2" t="s">
        <v>34</v>
      </c>
      <c r="AA12" s="2" t="s">
        <v>35</v>
      </c>
      <c r="AB12" s="2" t="s">
        <v>36</v>
      </c>
      <c r="AC12" s="2" t="s">
        <v>37</v>
      </c>
      <c r="AD12" s="2" t="s">
        <v>38</v>
      </c>
      <c r="AE12" s="2" t="s">
        <v>39</v>
      </c>
      <c r="AF12" s="2" t="s">
        <v>39</v>
      </c>
      <c r="AG12" s="2" t="s">
        <v>38</v>
      </c>
      <c r="AH12" s="2" t="s">
        <v>37</v>
      </c>
      <c r="AI12" s="2" t="s">
        <v>36</v>
      </c>
      <c r="AJ12" s="2" t="s">
        <v>35</v>
      </c>
      <c r="AK12" s="2" t="s">
        <v>34</v>
      </c>
      <c r="AL12" s="2" t="s">
        <v>33</v>
      </c>
      <c r="AM12" s="2" t="s">
        <v>32</v>
      </c>
      <c r="AN12" s="2" t="s">
        <v>31</v>
      </c>
      <c r="AO12" s="2" t="s">
        <v>0</v>
      </c>
      <c r="AP12" s="2" t="s">
        <v>0</v>
      </c>
      <c r="AQ12" s="2" t="s">
        <v>2</v>
      </c>
    </row>
    <row r="13" spans="1:43" x14ac:dyDescent="0.25">
      <c r="A13" s="3">
        <v>0</v>
      </c>
      <c r="B13" s="3">
        <v>1</v>
      </c>
      <c r="C13" s="3">
        <v>1</v>
      </c>
      <c r="D13" s="3">
        <v>1</v>
      </c>
      <c r="E13" s="3">
        <v>1</v>
      </c>
      <c r="F13" s="3">
        <v>1</v>
      </c>
      <c r="G13" s="3">
        <v>1</v>
      </c>
      <c r="H13" s="3">
        <v>1</v>
      </c>
      <c r="I13" s="3">
        <v>1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  <c r="P13" s="3">
        <v>0</v>
      </c>
      <c r="Q13" s="1" t="str">
        <f t="shared" si="0"/>
        <v>0111111111111110</v>
      </c>
      <c r="R13" s="2" t="str">
        <f t="shared" si="1"/>
        <v>0x7FFE</v>
      </c>
      <c r="S13" s="4" t="s">
        <v>44</v>
      </c>
      <c r="T13" s="4" t="s">
        <v>2</v>
      </c>
      <c r="U13" s="4" t="s">
        <v>8</v>
      </c>
      <c r="V13" s="4" t="s">
        <v>8</v>
      </c>
      <c r="W13" s="4" t="s">
        <v>8</v>
      </c>
      <c r="X13" s="4" t="s">
        <v>8</v>
      </c>
      <c r="Y13" s="4" t="s">
        <v>8</v>
      </c>
      <c r="Z13" s="4" t="s">
        <v>8</v>
      </c>
      <c r="AA13" s="4" t="s">
        <v>8</v>
      </c>
      <c r="AB13" s="4" t="s">
        <v>8</v>
      </c>
      <c r="AC13" s="4" t="s">
        <v>8</v>
      </c>
      <c r="AD13" s="4" t="s">
        <v>8</v>
      </c>
      <c r="AE13" s="4" t="s">
        <v>8</v>
      </c>
      <c r="AF13" s="4" t="s">
        <v>8</v>
      </c>
      <c r="AG13" s="4" t="s">
        <v>8</v>
      </c>
      <c r="AH13" s="4" t="s">
        <v>8</v>
      </c>
      <c r="AI13" s="4" t="s">
        <v>8</v>
      </c>
      <c r="AJ13" s="4" t="s">
        <v>8</v>
      </c>
      <c r="AK13" s="4" t="s">
        <v>8</v>
      </c>
      <c r="AL13" s="4" t="s">
        <v>8</v>
      </c>
      <c r="AM13" s="4" t="s">
        <v>8</v>
      </c>
      <c r="AN13" s="4" t="s">
        <v>1</v>
      </c>
      <c r="AO13" s="4" t="s">
        <v>1</v>
      </c>
      <c r="AP13" s="4" t="s">
        <v>1</v>
      </c>
      <c r="AQ13" s="4" t="s">
        <v>2</v>
      </c>
    </row>
    <row r="14" spans="1:43" x14ac:dyDescent="0.25">
      <c r="A14" s="3">
        <v>0</v>
      </c>
      <c r="B14" s="3">
        <v>1</v>
      </c>
      <c r="C14" s="3">
        <v>1</v>
      </c>
      <c r="D14" s="3">
        <v>1</v>
      </c>
      <c r="E14" s="3">
        <v>1</v>
      </c>
      <c r="F14" s="3">
        <v>1</v>
      </c>
      <c r="G14" s="3">
        <v>1</v>
      </c>
      <c r="H14" s="3">
        <v>1</v>
      </c>
      <c r="I14" s="3">
        <v>1</v>
      </c>
      <c r="J14" s="3">
        <v>1</v>
      </c>
      <c r="K14" s="3">
        <v>1</v>
      </c>
      <c r="L14" s="3">
        <v>1</v>
      </c>
      <c r="M14" s="3">
        <v>1</v>
      </c>
      <c r="N14" s="3">
        <v>1</v>
      </c>
      <c r="O14" s="3">
        <v>1</v>
      </c>
      <c r="P14" s="3">
        <v>0</v>
      </c>
      <c r="Q14" s="1" t="str">
        <f t="shared" si="0"/>
        <v>0111111111111110</v>
      </c>
      <c r="R14" s="2" t="str">
        <f t="shared" si="1"/>
        <v>0x7FFE</v>
      </c>
      <c r="S14" s="4" t="s">
        <v>45</v>
      </c>
      <c r="T14" s="4" t="s">
        <v>2</v>
      </c>
      <c r="U14" s="4" t="s">
        <v>0</v>
      </c>
      <c r="V14" s="4" t="s">
        <v>46</v>
      </c>
      <c r="W14" s="4" t="s">
        <v>47</v>
      </c>
      <c r="X14" s="4" t="s">
        <v>48</v>
      </c>
      <c r="Y14" s="4" t="s">
        <v>49</v>
      </c>
      <c r="Z14" s="4" t="s">
        <v>51</v>
      </c>
      <c r="AA14" s="4" t="s">
        <v>50</v>
      </c>
      <c r="AB14" s="4" t="s">
        <v>0</v>
      </c>
      <c r="AC14" s="4" t="s">
        <v>0</v>
      </c>
      <c r="AD14" s="4" t="s">
        <v>0</v>
      </c>
      <c r="AE14" s="4" t="s">
        <v>0</v>
      </c>
      <c r="AF14" s="4" t="s">
        <v>0</v>
      </c>
      <c r="AG14" s="4" t="s">
        <v>0</v>
      </c>
      <c r="AH14" s="4" t="s">
        <v>0</v>
      </c>
      <c r="AI14" s="4" t="s">
        <v>0</v>
      </c>
      <c r="AJ14" s="4" t="s">
        <v>0</v>
      </c>
      <c r="AK14" s="4" t="s">
        <v>0</v>
      </c>
      <c r="AL14" s="4" t="s">
        <v>0</v>
      </c>
      <c r="AM14" s="4" t="s">
        <v>0</v>
      </c>
      <c r="AN14" s="4" t="s">
        <v>0</v>
      </c>
      <c r="AO14" s="4" t="s">
        <v>0</v>
      </c>
      <c r="AP14" s="4" t="s">
        <v>0</v>
      </c>
      <c r="AQ14" s="4" t="s">
        <v>2</v>
      </c>
    </row>
    <row r="15" spans="1:43" x14ac:dyDescent="0.25">
      <c r="A15" s="3">
        <v>0</v>
      </c>
      <c r="B15" s="3">
        <v>1</v>
      </c>
      <c r="C15" s="3">
        <v>1</v>
      </c>
      <c r="D15" s="3">
        <v>1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1</v>
      </c>
      <c r="N15" s="3">
        <v>1</v>
      </c>
      <c r="O15" s="3">
        <v>1</v>
      </c>
      <c r="P15" s="3">
        <v>0</v>
      </c>
      <c r="Q15" s="1" t="str">
        <f t="shared" si="0"/>
        <v>0111000000001110</v>
      </c>
      <c r="R15" s="2" t="str">
        <f t="shared" si="1"/>
        <v>0x700E</v>
      </c>
      <c r="S15" s="4" t="s">
        <v>52</v>
      </c>
      <c r="T15" s="4" t="s">
        <v>2</v>
      </c>
      <c r="U15" s="4" t="s">
        <v>0</v>
      </c>
      <c r="V15" s="4" t="s">
        <v>0</v>
      </c>
      <c r="W15" s="4" t="s">
        <v>0</v>
      </c>
      <c r="X15" s="4" t="s">
        <v>23</v>
      </c>
      <c r="Y15" s="4" t="s">
        <v>53</v>
      </c>
      <c r="Z15" s="4" t="s">
        <v>53</v>
      </c>
      <c r="AA15" s="4" t="s">
        <v>54</v>
      </c>
      <c r="AB15" s="4" t="s">
        <v>55</v>
      </c>
      <c r="AC15" s="4" t="s">
        <v>56</v>
      </c>
      <c r="AD15" s="4" t="s">
        <v>56</v>
      </c>
      <c r="AE15" s="4" t="s">
        <v>50</v>
      </c>
      <c r="AF15" s="4" t="s">
        <v>50</v>
      </c>
      <c r="AG15" s="4" t="s">
        <v>57</v>
      </c>
      <c r="AH15" s="4" t="s">
        <v>58</v>
      </c>
      <c r="AI15" s="4" t="s">
        <v>59</v>
      </c>
      <c r="AJ15" s="4" t="s">
        <v>17</v>
      </c>
      <c r="AK15" s="4" t="s">
        <v>32</v>
      </c>
      <c r="AL15" s="4" t="s">
        <v>31</v>
      </c>
      <c r="AM15" s="4" t="s">
        <v>31</v>
      </c>
      <c r="AN15" s="4" t="s">
        <v>0</v>
      </c>
      <c r="AO15" s="4" t="s">
        <v>0</v>
      </c>
      <c r="AP15" s="4" t="s">
        <v>0</v>
      </c>
      <c r="AQ15" s="4" t="s">
        <v>2</v>
      </c>
    </row>
    <row r="16" spans="1:43" x14ac:dyDescent="0.25">
      <c r="A16" s="3">
        <v>0</v>
      </c>
      <c r="B16" s="3">
        <v>1</v>
      </c>
      <c r="C16" s="3">
        <v>1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</v>
      </c>
      <c r="N16" s="3">
        <v>1</v>
      </c>
      <c r="O16" s="3">
        <v>1</v>
      </c>
      <c r="P16" s="3">
        <v>0</v>
      </c>
      <c r="Q16" s="1" t="str">
        <f t="shared" si="0"/>
        <v>0111000000001110</v>
      </c>
      <c r="R16" s="2" t="str">
        <f t="shared" si="1"/>
        <v>0x700E</v>
      </c>
      <c r="S16" s="4" t="s">
        <v>60</v>
      </c>
      <c r="T16" s="4" t="s">
        <v>2</v>
      </c>
      <c r="U16" s="4" t="s">
        <v>72</v>
      </c>
      <c r="V16" s="4" t="s">
        <v>73</v>
      </c>
      <c r="W16" s="4" t="s">
        <v>74</v>
      </c>
      <c r="X16" s="4" t="s">
        <v>0</v>
      </c>
      <c r="Y16" s="4" t="s">
        <v>0</v>
      </c>
      <c r="Z16" s="4" t="s">
        <v>0</v>
      </c>
      <c r="AA16" s="4" t="s">
        <v>0</v>
      </c>
      <c r="AB16" s="4" t="s">
        <v>0</v>
      </c>
      <c r="AC16" s="4" t="s">
        <v>0</v>
      </c>
      <c r="AD16" s="4" t="s">
        <v>0</v>
      </c>
      <c r="AE16" s="4" t="s">
        <v>0</v>
      </c>
      <c r="AF16" s="4" t="s">
        <v>0</v>
      </c>
      <c r="AG16" s="4" t="s">
        <v>0</v>
      </c>
      <c r="AH16" s="4" t="s">
        <v>0</v>
      </c>
      <c r="AI16" s="4" t="s">
        <v>0</v>
      </c>
      <c r="AJ16" s="4" t="s">
        <v>0</v>
      </c>
      <c r="AK16" s="4" t="s">
        <v>0</v>
      </c>
      <c r="AL16" s="4" t="s">
        <v>0</v>
      </c>
      <c r="AM16" s="4" t="s">
        <v>0</v>
      </c>
      <c r="AN16" s="4" t="s">
        <v>5</v>
      </c>
      <c r="AO16" s="4" t="s">
        <v>75</v>
      </c>
      <c r="AP16" s="4" t="s">
        <v>76</v>
      </c>
      <c r="AQ16" s="4" t="s">
        <v>2</v>
      </c>
    </row>
    <row r="17" spans="1:43" x14ac:dyDescent="0.25">
      <c r="A17" s="3">
        <v>0</v>
      </c>
      <c r="B17" s="3">
        <v>1</v>
      </c>
      <c r="C17" s="3">
        <v>1</v>
      </c>
      <c r="D17" s="3">
        <v>1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1</v>
      </c>
      <c r="N17" s="3">
        <v>1</v>
      </c>
      <c r="O17" s="3">
        <v>1</v>
      </c>
      <c r="P17" s="3">
        <v>0</v>
      </c>
      <c r="Q17" s="1" t="str">
        <f t="shared" si="0"/>
        <v>0111000000001110</v>
      </c>
      <c r="R17" s="2" t="str">
        <f t="shared" si="1"/>
        <v>0x700E</v>
      </c>
      <c r="S17" s="14" t="s">
        <v>61</v>
      </c>
      <c r="T17" s="2" t="s">
        <v>2</v>
      </c>
      <c r="U17" s="2" t="s">
        <v>77</v>
      </c>
      <c r="V17" s="2" t="s">
        <v>4</v>
      </c>
      <c r="W17" s="2" t="s">
        <v>5</v>
      </c>
      <c r="X17" s="2" t="s">
        <v>0</v>
      </c>
      <c r="Y17" s="2" t="s">
        <v>0</v>
      </c>
      <c r="Z17" s="2" t="s">
        <v>0</v>
      </c>
      <c r="AA17" s="2" t="s">
        <v>0</v>
      </c>
      <c r="AB17" s="2" t="s">
        <v>0</v>
      </c>
      <c r="AC17" s="2" t="s">
        <v>0</v>
      </c>
      <c r="AD17" s="2" t="s">
        <v>0</v>
      </c>
      <c r="AE17" s="2" t="s">
        <v>0</v>
      </c>
      <c r="AF17" s="2" t="s">
        <v>12</v>
      </c>
      <c r="AG17" s="2" t="s">
        <v>5</v>
      </c>
      <c r="AH17" s="2" t="s">
        <v>4</v>
      </c>
      <c r="AI17" s="2" t="s">
        <v>77</v>
      </c>
      <c r="AJ17" s="2" t="s">
        <v>8</v>
      </c>
      <c r="AK17" s="2" t="s">
        <v>8</v>
      </c>
      <c r="AL17" s="2" t="s">
        <v>8</v>
      </c>
      <c r="AM17" s="2" t="s">
        <v>8</v>
      </c>
      <c r="AN17" s="2" t="s">
        <v>8</v>
      </c>
      <c r="AO17" s="2" t="s">
        <v>8</v>
      </c>
      <c r="AP17" s="2" t="s">
        <v>8</v>
      </c>
      <c r="AQ17" s="2" t="s">
        <v>2</v>
      </c>
    </row>
    <row r="18" spans="1:43" x14ac:dyDescent="0.25">
      <c r="A18" s="3">
        <v>0</v>
      </c>
      <c r="B18" s="3">
        <v>1</v>
      </c>
      <c r="C18" s="3">
        <v>1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1</v>
      </c>
      <c r="P18" s="3">
        <v>0</v>
      </c>
      <c r="Q18" s="1" t="str">
        <f t="shared" si="0"/>
        <v>0111000000001110</v>
      </c>
      <c r="R18" s="2" t="str">
        <f t="shared" si="1"/>
        <v>0x700E</v>
      </c>
      <c r="S18" s="4" t="s">
        <v>62</v>
      </c>
      <c r="T18" s="4" t="s">
        <v>2</v>
      </c>
      <c r="U18" s="4" t="s">
        <v>72</v>
      </c>
      <c r="V18" s="4" t="s">
        <v>73</v>
      </c>
      <c r="W18" s="4" t="s">
        <v>74</v>
      </c>
      <c r="X18" s="4" t="s">
        <v>0</v>
      </c>
      <c r="Y18" s="4" t="s">
        <v>0</v>
      </c>
      <c r="Z18" s="4" t="s">
        <v>0</v>
      </c>
      <c r="AA18" s="4" t="s">
        <v>0</v>
      </c>
      <c r="AB18" s="4" t="s">
        <v>0</v>
      </c>
      <c r="AC18" s="4" t="s">
        <v>0</v>
      </c>
      <c r="AD18" s="4" t="s">
        <v>0</v>
      </c>
      <c r="AE18" s="4" t="s">
        <v>0</v>
      </c>
      <c r="AF18" s="4" t="s">
        <v>0</v>
      </c>
      <c r="AG18" s="4" t="s">
        <v>50</v>
      </c>
      <c r="AH18" s="4" t="s">
        <v>78</v>
      </c>
      <c r="AI18" s="4" t="s">
        <v>79</v>
      </c>
      <c r="AJ18" s="4" t="s">
        <v>58</v>
      </c>
      <c r="AK18" s="4" t="s">
        <v>17</v>
      </c>
      <c r="AL18" s="4" t="s">
        <v>10</v>
      </c>
      <c r="AM18" s="4" t="s">
        <v>80</v>
      </c>
      <c r="AN18" s="4" t="s">
        <v>1</v>
      </c>
      <c r="AO18" s="4" t="s">
        <v>81</v>
      </c>
      <c r="AP18" s="4" t="s">
        <v>82</v>
      </c>
      <c r="AQ18" s="4" t="s">
        <v>2</v>
      </c>
    </row>
    <row r="19" spans="1:43" x14ac:dyDescent="0.25">
      <c r="A19" s="3">
        <v>0</v>
      </c>
      <c r="B19" s="3">
        <v>1</v>
      </c>
      <c r="C19" s="3">
        <v>1</v>
      </c>
      <c r="D19" s="3">
        <v>1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1</v>
      </c>
      <c r="N19" s="3">
        <v>1</v>
      </c>
      <c r="O19" s="3">
        <v>1</v>
      </c>
      <c r="P19" s="3">
        <v>0</v>
      </c>
      <c r="Q19" s="1" t="str">
        <f t="shared" si="0"/>
        <v>0111000000001110</v>
      </c>
      <c r="R19" s="2" t="str">
        <f t="shared" si="1"/>
        <v>0x700E</v>
      </c>
      <c r="S19" s="4" t="s">
        <v>63</v>
      </c>
      <c r="T19" s="2" t="s">
        <v>2</v>
      </c>
      <c r="U19" s="2" t="s">
        <v>72</v>
      </c>
      <c r="V19" s="2" t="s">
        <v>73</v>
      </c>
      <c r="W19" s="2" t="s">
        <v>74</v>
      </c>
      <c r="X19" s="2" t="s">
        <v>0</v>
      </c>
      <c r="Y19" s="2" t="s">
        <v>0</v>
      </c>
      <c r="Z19" s="2" t="s">
        <v>0</v>
      </c>
      <c r="AA19" s="2" t="s">
        <v>0</v>
      </c>
      <c r="AB19" s="2" t="s">
        <v>0</v>
      </c>
      <c r="AC19" s="2" t="s">
        <v>0</v>
      </c>
      <c r="AD19" s="2" t="s">
        <v>0</v>
      </c>
      <c r="AE19" s="2" t="s">
        <v>0</v>
      </c>
      <c r="AF19" s="2" t="s">
        <v>12</v>
      </c>
      <c r="AG19" s="2" t="s">
        <v>5</v>
      </c>
      <c r="AH19" s="2" t="s">
        <v>4</v>
      </c>
      <c r="AI19" s="2" t="s">
        <v>77</v>
      </c>
      <c r="AJ19" s="2" t="s">
        <v>83</v>
      </c>
      <c r="AK19" s="2" t="s">
        <v>84</v>
      </c>
      <c r="AL19" s="2" t="s">
        <v>85</v>
      </c>
      <c r="AM19" s="2" t="s">
        <v>86</v>
      </c>
      <c r="AN19" s="2" t="s">
        <v>10</v>
      </c>
      <c r="AO19" s="2" t="s">
        <v>11</v>
      </c>
      <c r="AP19" s="2" t="s">
        <v>0</v>
      </c>
      <c r="AQ19" s="2" t="s">
        <v>2</v>
      </c>
    </row>
    <row r="20" spans="1:43" x14ac:dyDescent="0.25">
      <c r="A20" s="3">
        <v>0</v>
      </c>
      <c r="B20" s="3">
        <v>1</v>
      </c>
      <c r="C20" s="3">
        <v>1</v>
      </c>
      <c r="D20" s="3">
        <v>1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</v>
      </c>
      <c r="N20" s="3">
        <v>1</v>
      </c>
      <c r="O20" s="3">
        <v>1</v>
      </c>
      <c r="P20" s="3">
        <v>0</v>
      </c>
      <c r="Q20" s="1" t="str">
        <f t="shared" si="0"/>
        <v>0111000000001110</v>
      </c>
      <c r="R20" s="2" t="str">
        <f t="shared" si="1"/>
        <v>0x700E</v>
      </c>
      <c r="S20" s="4" t="s">
        <v>64</v>
      </c>
      <c r="T20" s="2" t="s">
        <v>2</v>
      </c>
      <c r="U20" s="2" t="s">
        <v>72</v>
      </c>
      <c r="V20" s="2" t="s">
        <v>73</v>
      </c>
      <c r="W20" s="2" t="s">
        <v>74</v>
      </c>
      <c r="X20" s="2" t="s">
        <v>87</v>
      </c>
      <c r="Y20" s="2" t="s">
        <v>12</v>
      </c>
      <c r="Z20" s="2" t="s">
        <v>8</v>
      </c>
      <c r="AA20" s="2" t="s">
        <v>8</v>
      </c>
      <c r="AB20" s="2" t="s">
        <v>8</v>
      </c>
      <c r="AC20" s="2" t="s">
        <v>8</v>
      </c>
      <c r="AD20" s="2" t="s">
        <v>8</v>
      </c>
      <c r="AE20" s="2" t="s">
        <v>8</v>
      </c>
      <c r="AF20" s="2" t="s">
        <v>8</v>
      </c>
      <c r="AG20" s="2" t="s">
        <v>88</v>
      </c>
      <c r="AH20" s="2" t="s">
        <v>76</v>
      </c>
      <c r="AI20" s="2" t="s">
        <v>27</v>
      </c>
      <c r="AJ20" s="2" t="s">
        <v>89</v>
      </c>
      <c r="AK20" s="2" t="s">
        <v>89</v>
      </c>
      <c r="AL20" s="2" t="s">
        <v>89</v>
      </c>
      <c r="AM20" s="2" t="s">
        <v>90</v>
      </c>
      <c r="AN20" s="2" t="s">
        <v>4</v>
      </c>
      <c r="AO20" s="2" t="s">
        <v>75</v>
      </c>
      <c r="AP20" s="2" t="s">
        <v>76</v>
      </c>
      <c r="AQ20" s="2" t="s">
        <v>2</v>
      </c>
    </row>
    <row r="21" spans="1:43" x14ac:dyDescent="0.25">
      <c r="A21" s="3">
        <v>0</v>
      </c>
      <c r="B21" s="3">
        <v>1</v>
      </c>
      <c r="C21" s="3">
        <v>1</v>
      </c>
      <c r="D21" s="3">
        <v>1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1</v>
      </c>
      <c r="N21" s="3">
        <v>1</v>
      </c>
      <c r="O21" s="3">
        <v>1</v>
      </c>
      <c r="P21" s="3">
        <v>0</v>
      </c>
      <c r="Q21" s="1" t="str">
        <f t="shared" si="0"/>
        <v>0111000000001110</v>
      </c>
      <c r="R21" s="2" t="str">
        <f t="shared" si="1"/>
        <v>0x700E</v>
      </c>
      <c r="S21" s="4" t="s">
        <v>65</v>
      </c>
      <c r="T21" s="2" t="s">
        <v>2</v>
      </c>
      <c r="U21" s="2" t="s">
        <v>1</v>
      </c>
      <c r="V21" s="2" t="s">
        <v>1</v>
      </c>
      <c r="W21" s="2" t="s">
        <v>1</v>
      </c>
      <c r="X21" s="2" t="s">
        <v>1</v>
      </c>
      <c r="Y21" s="2" t="s">
        <v>19</v>
      </c>
      <c r="Z21" s="2" t="s">
        <v>19</v>
      </c>
      <c r="AA21" s="2" t="s">
        <v>19</v>
      </c>
      <c r="AB21" s="2" t="s">
        <v>19</v>
      </c>
      <c r="AC21" s="2" t="s">
        <v>19</v>
      </c>
      <c r="AD21" s="2" t="s">
        <v>19</v>
      </c>
      <c r="AE21" s="2" t="s">
        <v>19</v>
      </c>
      <c r="AF21" s="2" t="s">
        <v>19</v>
      </c>
      <c r="AG21" s="2" t="s">
        <v>19</v>
      </c>
      <c r="AH21" s="2" t="s">
        <v>19</v>
      </c>
      <c r="AI21" s="2" t="s">
        <v>19</v>
      </c>
      <c r="AJ21" s="2" t="s">
        <v>19</v>
      </c>
      <c r="AK21" s="2" t="s">
        <v>19</v>
      </c>
      <c r="AL21" s="2" t="s">
        <v>19</v>
      </c>
      <c r="AM21" s="2" t="s">
        <v>19</v>
      </c>
      <c r="AN21" s="2" t="s">
        <v>19</v>
      </c>
      <c r="AO21" s="2" t="s">
        <v>19</v>
      </c>
      <c r="AP21" s="2" t="s">
        <v>19</v>
      </c>
      <c r="AQ21" s="2" t="s">
        <v>2</v>
      </c>
    </row>
    <row r="22" spans="1:43" x14ac:dyDescent="0.25">
      <c r="A22" s="3">
        <v>0</v>
      </c>
      <c r="B22" s="3">
        <v>1</v>
      </c>
      <c r="C22" s="3">
        <v>1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1</v>
      </c>
      <c r="N22" s="3">
        <v>1</v>
      </c>
      <c r="O22" s="3">
        <v>1</v>
      </c>
      <c r="P22" s="3">
        <v>0</v>
      </c>
      <c r="Q22" s="1" t="str">
        <f>CONCATENATE(A22,B22,C22,D22,E22,F22,G22,H22,I22,J22,K22,L22,M22,N22,O22,P22)</f>
        <v>0111000000001110</v>
      </c>
      <c r="R22" s="2" t="str">
        <f t="shared" si="1"/>
        <v>0x700E</v>
      </c>
      <c r="S22" s="4" t="s">
        <v>66</v>
      </c>
      <c r="T22" s="2" t="s">
        <v>2</v>
      </c>
      <c r="U22" s="2" t="s">
        <v>0</v>
      </c>
      <c r="V22" s="2" t="s">
        <v>0</v>
      </c>
      <c r="W22" s="2" t="s">
        <v>0</v>
      </c>
      <c r="X22" s="2" t="s">
        <v>0</v>
      </c>
      <c r="Y22" s="2" t="s">
        <v>0</v>
      </c>
      <c r="Z22" s="2" t="s">
        <v>0</v>
      </c>
      <c r="AA22" s="2" t="s">
        <v>0</v>
      </c>
      <c r="AB22" s="2" t="s">
        <v>0</v>
      </c>
      <c r="AC22" s="2" t="s">
        <v>0</v>
      </c>
      <c r="AD22" s="2" t="s">
        <v>0</v>
      </c>
      <c r="AE22" s="2" t="s">
        <v>0</v>
      </c>
      <c r="AF22" s="2" t="s">
        <v>0</v>
      </c>
      <c r="AG22" s="2" t="s">
        <v>0</v>
      </c>
      <c r="AH22" s="2" t="s">
        <v>0</v>
      </c>
      <c r="AI22" s="2" t="s">
        <v>0</v>
      </c>
      <c r="AJ22" s="2" t="s">
        <v>0</v>
      </c>
      <c r="AK22" s="2" t="s">
        <v>0</v>
      </c>
      <c r="AL22" s="2" t="s">
        <v>0</v>
      </c>
      <c r="AM22" s="2" t="s">
        <v>46</v>
      </c>
      <c r="AN22" s="2" t="s">
        <v>5</v>
      </c>
      <c r="AO22" s="2" t="s">
        <v>75</v>
      </c>
      <c r="AP22" s="2" t="s">
        <v>76</v>
      </c>
      <c r="AQ22" s="2" t="s">
        <v>2</v>
      </c>
    </row>
    <row r="23" spans="1:43" x14ac:dyDescent="0.25">
      <c r="A23" s="3">
        <v>0</v>
      </c>
      <c r="B23" s="3">
        <v>1</v>
      </c>
      <c r="C23" s="3">
        <v>1</v>
      </c>
      <c r="D23" s="3">
        <v>1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1</v>
      </c>
      <c r="N23" s="3">
        <v>1</v>
      </c>
      <c r="O23" s="3">
        <v>1</v>
      </c>
      <c r="P23" s="3">
        <v>0</v>
      </c>
      <c r="Q23" s="1" t="str">
        <f>CONCATENATE(A23,B23,C23,D23,E23,F23,G23,H23,I23,J23,K23,L23,M23,N23,O23,P23)</f>
        <v>0111000000001110</v>
      </c>
      <c r="R23" s="2" t="str">
        <f t="shared" si="1"/>
        <v>0x700E</v>
      </c>
      <c r="S23" s="4" t="s">
        <v>67</v>
      </c>
      <c r="T23" s="2" t="s">
        <v>2</v>
      </c>
      <c r="U23" s="2" t="s">
        <v>46</v>
      </c>
      <c r="V23" s="2" t="s">
        <v>46</v>
      </c>
      <c r="W23" s="2" t="s">
        <v>91</v>
      </c>
      <c r="X23" s="2" t="s">
        <v>91</v>
      </c>
      <c r="Y23" s="2" t="s">
        <v>91</v>
      </c>
      <c r="Z23" s="2" t="s">
        <v>91</v>
      </c>
      <c r="AA23" s="2" t="s">
        <v>91</v>
      </c>
      <c r="AB23" s="2" t="s">
        <v>91</v>
      </c>
      <c r="AC23" s="2" t="s">
        <v>91</v>
      </c>
      <c r="AD23" s="2" t="s">
        <v>91</v>
      </c>
      <c r="AE23" s="2" t="s">
        <v>91</v>
      </c>
      <c r="AF23" s="2" t="s">
        <v>91</v>
      </c>
      <c r="AG23" s="2" t="s">
        <v>91</v>
      </c>
      <c r="AH23" s="2" t="s">
        <v>91</v>
      </c>
      <c r="AI23" s="2" t="s">
        <v>91</v>
      </c>
      <c r="AJ23" s="2" t="s">
        <v>92</v>
      </c>
      <c r="AK23" s="2" t="s">
        <v>92</v>
      </c>
      <c r="AL23" s="2" t="s">
        <v>92</v>
      </c>
      <c r="AM23" s="2" t="s">
        <v>93</v>
      </c>
      <c r="AN23" s="2" t="s">
        <v>72</v>
      </c>
      <c r="AO23" s="2" t="s">
        <v>72</v>
      </c>
      <c r="AP23" s="2" t="s">
        <v>19</v>
      </c>
      <c r="AQ23" s="2" t="s">
        <v>2</v>
      </c>
    </row>
    <row r="24" spans="1:43" x14ac:dyDescent="0.25">
      <c r="A24" s="3">
        <v>0</v>
      </c>
      <c r="B24" s="3">
        <v>1</v>
      </c>
      <c r="C24" s="3">
        <v>1</v>
      </c>
      <c r="D24" s="3">
        <v>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1</v>
      </c>
      <c r="N24" s="3">
        <v>1</v>
      </c>
      <c r="O24" s="3">
        <v>1</v>
      </c>
      <c r="P24" s="3">
        <v>0</v>
      </c>
      <c r="Q24" s="1" t="str">
        <f>CONCATENATE(A24,B24,C24,D24,E24,F24,G24,H24,I24,J24,K24,L24,M24,N24,O24,P24)</f>
        <v>0111000000001110</v>
      </c>
      <c r="R24" s="2" t="str">
        <f t="shared" si="1"/>
        <v>0x700E</v>
      </c>
      <c r="S24" s="4" t="s">
        <v>68</v>
      </c>
      <c r="T24" s="2" t="s">
        <v>2</v>
      </c>
      <c r="U24" s="2" t="s">
        <v>0</v>
      </c>
      <c r="V24" s="2" t="s">
        <v>0</v>
      </c>
      <c r="W24" s="2" t="s">
        <v>0</v>
      </c>
      <c r="X24" s="2" t="s">
        <v>0</v>
      </c>
      <c r="Y24" s="2" t="s">
        <v>0</v>
      </c>
      <c r="Z24" s="2" t="s">
        <v>0</v>
      </c>
      <c r="AA24" s="2" t="s">
        <v>0</v>
      </c>
      <c r="AB24" s="2" t="s">
        <v>0</v>
      </c>
      <c r="AC24" s="2" t="s">
        <v>0</v>
      </c>
      <c r="AD24" s="2" t="s">
        <v>0</v>
      </c>
      <c r="AE24" s="2" t="s">
        <v>0</v>
      </c>
      <c r="AF24" s="2" t="s">
        <v>0</v>
      </c>
      <c r="AG24" s="2" t="s">
        <v>0</v>
      </c>
      <c r="AH24" s="2" t="s">
        <v>0</v>
      </c>
      <c r="AI24" s="2" t="s">
        <v>0</v>
      </c>
      <c r="AJ24" s="2" t="s">
        <v>50</v>
      </c>
      <c r="AK24" s="2" t="s">
        <v>51</v>
      </c>
      <c r="AL24" s="2" t="s">
        <v>49</v>
      </c>
      <c r="AM24" s="2" t="s">
        <v>48</v>
      </c>
      <c r="AN24" s="2" t="s">
        <v>47</v>
      </c>
      <c r="AO24" s="2" t="s">
        <v>46</v>
      </c>
      <c r="AP24" s="2" t="s">
        <v>0</v>
      </c>
      <c r="AQ24" s="2" t="s">
        <v>2</v>
      </c>
    </row>
    <row r="25" spans="1:43" ht="15.75" thickBot="1" x14ac:dyDescent="0.3">
      <c r="A25" s="22">
        <v>0</v>
      </c>
      <c r="B25" s="22">
        <v>0</v>
      </c>
      <c r="C25" s="22">
        <v>0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N25" s="22">
        <v>0</v>
      </c>
      <c r="O25" s="22">
        <v>0</v>
      </c>
      <c r="P25" s="22">
        <v>0</v>
      </c>
      <c r="Q25" s="1" t="str">
        <f t="shared" si="0"/>
        <v>0000000000000000</v>
      </c>
      <c r="R25" s="2" t="str">
        <f t="shared" si="1"/>
        <v>0x0000</v>
      </c>
      <c r="S25" s="4" t="s">
        <v>69</v>
      </c>
      <c r="T25" s="2" t="s">
        <v>2</v>
      </c>
      <c r="U25" s="2" t="s">
        <v>0</v>
      </c>
      <c r="V25" s="2" t="s">
        <v>0</v>
      </c>
      <c r="W25" s="2" t="s">
        <v>94</v>
      </c>
      <c r="X25" s="2" t="s">
        <v>94</v>
      </c>
      <c r="Y25" s="2" t="s">
        <v>97</v>
      </c>
      <c r="Z25" s="2" t="s">
        <v>98</v>
      </c>
      <c r="AA25" s="2" t="s">
        <v>98</v>
      </c>
      <c r="AB25" s="2" t="s">
        <v>99</v>
      </c>
      <c r="AC25" s="2" t="s">
        <v>19</v>
      </c>
      <c r="AD25" s="2" t="s">
        <v>19</v>
      </c>
      <c r="AE25" s="2" t="s">
        <v>99</v>
      </c>
      <c r="AF25" s="2" t="s">
        <v>99</v>
      </c>
      <c r="AG25" s="2" t="s">
        <v>98</v>
      </c>
      <c r="AH25" s="2" t="s">
        <v>98</v>
      </c>
      <c r="AI25" s="2" t="s">
        <v>94</v>
      </c>
      <c r="AJ25" s="2" t="s">
        <v>94</v>
      </c>
      <c r="AK25" s="2" t="s">
        <v>96</v>
      </c>
      <c r="AL25" s="2" t="s">
        <v>96</v>
      </c>
      <c r="AM25" s="2" t="s">
        <v>96</v>
      </c>
      <c r="AN25" s="2" t="s">
        <v>0</v>
      </c>
      <c r="AO25" s="2" t="s">
        <v>0</v>
      </c>
      <c r="AP25" s="2" t="s">
        <v>0</v>
      </c>
      <c r="AQ25" s="2" t="s">
        <v>2</v>
      </c>
    </row>
    <row r="26" spans="1:43" x14ac:dyDescent="0.25">
      <c r="A26" s="5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7"/>
      <c r="S26" s="4" t="s">
        <v>70</v>
      </c>
      <c r="T26" s="2" t="s">
        <v>2</v>
      </c>
      <c r="U26" s="2" t="s">
        <v>0</v>
      </c>
      <c r="V26" s="2" t="s">
        <v>0</v>
      </c>
      <c r="W26" s="2" t="s">
        <v>96</v>
      </c>
      <c r="X26" s="2" t="s">
        <v>100</v>
      </c>
      <c r="Y26" s="2" t="s">
        <v>94</v>
      </c>
      <c r="Z26" s="2" t="s">
        <v>92</v>
      </c>
      <c r="AA26" s="2" t="s">
        <v>98</v>
      </c>
      <c r="AB26" s="2" t="s">
        <v>99</v>
      </c>
      <c r="AC26" s="2" t="s">
        <v>99</v>
      </c>
      <c r="AD26" s="2" t="s">
        <v>19</v>
      </c>
      <c r="AE26" s="2" t="s">
        <v>101</v>
      </c>
      <c r="AF26" s="2" t="s">
        <v>101</v>
      </c>
      <c r="AG26" s="2" t="s">
        <v>101</v>
      </c>
      <c r="AH26" s="2" t="s">
        <v>101</v>
      </c>
      <c r="AI26" s="2" t="s">
        <v>101</v>
      </c>
      <c r="AJ26" s="2" t="s">
        <v>101</v>
      </c>
      <c r="AK26" s="2" t="s">
        <v>101</v>
      </c>
      <c r="AL26" s="2" t="s">
        <v>101</v>
      </c>
      <c r="AM26" s="2" t="s">
        <v>101</v>
      </c>
      <c r="AN26" s="2" t="s">
        <v>101</v>
      </c>
      <c r="AO26" s="2" t="s">
        <v>19</v>
      </c>
      <c r="AP26" s="2" t="s">
        <v>19</v>
      </c>
      <c r="AQ26" s="2" t="s">
        <v>2</v>
      </c>
    </row>
    <row r="27" spans="1:43" ht="15.75" thickBot="1" x14ac:dyDescent="0.3">
      <c r="A27" s="11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3"/>
      <c r="S27" s="4" t="s">
        <v>71</v>
      </c>
      <c r="T27" s="2" t="s">
        <v>2</v>
      </c>
      <c r="U27" s="2" t="s">
        <v>1</v>
      </c>
      <c r="V27" s="2" t="s">
        <v>1</v>
      </c>
      <c r="W27" s="2" t="s">
        <v>21</v>
      </c>
      <c r="X27" s="2" t="s">
        <v>21</v>
      </c>
      <c r="Y27" s="2" t="s">
        <v>21</v>
      </c>
      <c r="Z27" s="2" t="s">
        <v>102</v>
      </c>
      <c r="AA27" s="2" t="s">
        <v>103</v>
      </c>
      <c r="AB27" s="2" t="s">
        <v>104</v>
      </c>
      <c r="AC27" s="2" t="s">
        <v>105</v>
      </c>
      <c r="AD27" s="2" t="s">
        <v>95</v>
      </c>
      <c r="AE27" s="2" t="s">
        <v>74</v>
      </c>
      <c r="AF27" s="2" t="s">
        <v>74</v>
      </c>
      <c r="AG27" s="2" t="s">
        <v>74</v>
      </c>
      <c r="AH27" s="2" t="s">
        <v>106</v>
      </c>
      <c r="AI27" s="2" t="s">
        <v>107</v>
      </c>
      <c r="AJ27" s="2" t="s">
        <v>108</v>
      </c>
      <c r="AK27" s="2" t="s">
        <v>109</v>
      </c>
      <c r="AL27" s="2" t="s">
        <v>8</v>
      </c>
      <c r="AM27" s="2" t="s">
        <v>8</v>
      </c>
      <c r="AN27" s="2" t="s">
        <v>1</v>
      </c>
      <c r="AO27" s="2" t="s">
        <v>1</v>
      </c>
      <c r="AP27" s="2" t="s">
        <v>1</v>
      </c>
      <c r="AQ27" s="2" t="s">
        <v>2</v>
      </c>
    </row>
    <row r="28" spans="1:43" ht="15.75" thickBot="1" x14ac:dyDescent="0.3">
      <c r="A28" s="36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8"/>
      <c r="Q28" s="33" t="s">
        <v>159</v>
      </c>
      <c r="R28" s="34"/>
      <c r="S28" s="4" t="s">
        <v>110</v>
      </c>
      <c r="T28" s="2" t="s">
        <v>2</v>
      </c>
      <c r="U28" s="2" t="s">
        <v>38</v>
      </c>
      <c r="V28" s="2" t="s">
        <v>38</v>
      </c>
      <c r="W28" s="2" t="s">
        <v>38</v>
      </c>
      <c r="X28" s="2" t="s">
        <v>8</v>
      </c>
      <c r="Y28" s="2" t="s">
        <v>8</v>
      </c>
      <c r="Z28" s="2" t="s">
        <v>8</v>
      </c>
      <c r="AA28" s="2" t="s">
        <v>8</v>
      </c>
      <c r="AB28" s="2" t="s">
        <v>8</v>
      </c>
      <c r="AC28" s="2" t="s">
        <v>8</v>
      </c>
      <c r="AD28" s="2" t="s">
        <v>8</v>
      </c>
      <c r="AE28" s="2" t="s">
        <v>8</v>
      </c>
      <c r="AF28" s="2" t="s">
        <v>8</v>
      </c>
      <c r="AG28" s="2" t="s">
        <v>8</v>
      </c>
      <c r="AH28" s="2" t="s">
        <v>8</v>
      </c>
      <c r="AI28" s="2" t="s">
        <v>8</v>
      </c>
      <c r="AJ28" s="2" t="s">
        <v>8</v>
      </c>
      <c r="AK28" s="2" t="s">
        <v>8</v>
      </c>
      <c r="AL28" s="2" t="s">
        <v>8</v>
      </c>
      <c r="AM28" s="2" t="s">
        <v>8</v>
      </c>
      <c r="AN28" s="2" t="s">
        <v>38</v>
      </c>
      <c r="AO28" s="2" t="s">
        <v>38</v>
      </c>
      <c r="AP28" s="2" t="s">
        <v>38</v>
      </c>
      <c r="AQ28" s="2" t="s">
        <v>2</v>
      </c>
    </row>
    <row r="29" spans="1:43" ht="15.75" thickBot="1" x14ac:dyDescent="0.3">
      <c r="A29" s="39" t="s">
        <v>175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1"/>
      <c r="Q29" s="20" t="str">
        <f>HexToBin(R29)</f>
        <v>0</v>
      </c>
      <c r="R29" s="25" t="s">
        <v>2</v>
      </c>
      <c r="S29" s="14" t="s">
        <v>111</v>
      </c>
      <c r="T29" s="2" t="s">
        <v>2</v>
      </c>
      <c r="U29" s="14" t="s">
        <v>8</v>
      </c>
      <c r="V29" s="2" t="s">
        <v>8</v>
      </c>
      <c r="W29" s="14" t="s">
        <v>7</v>
      </c>
      <c r="X29" s="14" t="s">
        <v>109</v>
      </c>
      <c r="Y29" s="14" t="s">
        <v>112</v>
      </c>
      <c r="Z29" s="14" t="s">
        <v>108</v>
      </c>
      <c r="AA29" s="14" t="s">
        <v>113</v>
      </c>
      <c r="AB29" s="14" t="s">
        <v>107</v>
      </c>
      <c r="AC29" s="14" t="s">
        <v>114</v>
      </c>
      <c r="AD29" s="14" t="s">
        <v>106</v>
      </c>
      <c r="AE29" s="14" t="s">
        <v>115</v>
      </c>
      <c r="AF29" s="14" t="s">
        <v>116</v>
      </c>
      <c r="AG29" s="14" t="s">
        <v>19</v>
      </c>
      <c r="AH29" s="14" t="s">
        <v>95</v>
      </c>
      <c r="AI29" s="14" t="s">
        <v>117</v>
      </c>
      <c r="AJ29" s="2" t="s">
        <v>105</v>
      </c>
      <c r="AK29" s="2" t="s">
        <v>118</v>
      </c>
      <c r="AL29" s="2" t="s">
        <v>104</v>
      </c>
      <c r="AM29" s="2" t="s">
        <v>119</v>
      </c>
      <c r="AN29" s="2" t="s">
        <v>120</v>
      </c>
      <c r="AO29" s="2" t="s">
        <v>120</v>
      </c>
      <c r="AP29" s="2" t="s">
        <v>21</v>
      </c>
      <c r="AQ29" s="2" t="s">
        <v>2</v>
      </c>
    </row>
    <row r="30" spans="1:43" x14ac:dyDescent="0.25">
      <c r="A30" s="15"/>
      <c r="B30" s="8"/>
      <c r="C30" s="9"/>
      <c r="D30" s="9" t="s">
        <v>167</v>
      </c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10"/>
      <c r="Q30" s="20" t="str">
        <f>HexToBin(R30)</f>
        <v>1111111111000</v>
      </c>
      <c r="R30" s="18" t="s">
        <v>73</v>
      </c>
      <c r="S30" s="4" t="s">
        <v>121</v>
      </c>
      <c r="T30" s="2" t="s">
        <v>2</v>
      </c>
      <c r="U30" s="2" t="s">
        <v>161</v>
      </c>
      <c r="V30" s="2" t="s">
        <v>161</v>
      </c>
      <c r="W30" s="2" t="s">
        <v>161</v>
      </c>
      <c r="X30" s="2" t="s">
        <v>21</v>
      </c>
      <c r="Y30" s="2" t="s">
        <v>21</v>
      </c>
      <c r="Z30" s="2" t="s">
        <v>21</v>
      </c>
      <c r="AA30" s="2" t="s">
        <v>21</v>
      </c>
      <c r="AB30" s="2" t="s">
        <v>21</v>
      </c>
      <c r="AC30" s="2" t="s">
        <v>21</v>
      </c>
      <c r="AD30" s="2" t="s">
        <v>21</v>
      </c>
      <c r="AE30" s="2" t="s">
        <v>21</v>
      </c>
      <c r="AF30" s="2" t="s">
        <v>21</v>
      </c>
      <c r="AG30" s="2" t="s">
        <v>21</v>
      </c>
      <c r="AH30" s="2" t="s">
        <v>21</v>
      </c>
      <c r="AI30" s="2" t="s">
        <v>21</v>
      </c>
      <c r="AJ30" s="2" t="s">
        <v>21</v>
      </c>
      <c r="AK30" s="2" t="s">
        <v>21</v>
      </c>
      <c r="AL30" s="2" t="s">
        <v>21</v>
      </c>
      <c r="AM30" s="2" t="s">
        <v>21</v>
      </c>
      <c r="AN30" s="2" t="s">
        <v>161</v>
      </c>
      <c r="AO30" s="2" t="s">
        <v>161</v>
      </c>
      <c r="AP30" s="2" t="s">
        <v>161</v>
      </c>
      <c r="AQ30" s="2" t="s">
        <v>2</v>
      </c>
    </row>
    <row r="31" spans="1:43" x14ac:dyDescent="0.25">
      <c r="A31" s="15"/>
      <c r="B31" s="8"/>
      <c r="C31" s="9"/>
      <c r="D31" s="9" t="s">
        <v>157</v>
      </c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10"/>
      <c r="Q31" s="20" t="str">
        <f t="shared" ref="Q31:Q52" si="2">HexToBin(R31)</f>
        <v>11111111111100</v>
      </c>
      <c r="R31" s="18" t="s">
        <v>74</v>
      </c>
      <c r="S31" s="2" t="s">
        <v>158</v>
      </c>
      <c r="T31" s="2" t="s">
        <v>2</v>
      </c>
      <c r="U31" s="2" t="s">
        <v>2</v>
      </c>
      <c r="V31" s="2" t="s">
        <v>101</v>
      </c>
      <c r="W31" s="2" t="s">
        <v>19</v>
      </c>
      <c r="X31" s="2" t="s">
        <v>160</v>
      </c>
      <c r="Y31" s="2" t="s">
        <v>93</v>
      </c>
      <c r="Z31" s="2" t="s">
        <v>98</v>
      </c>
      <c r="AA31" s="2" t="s">
        <v>97</v>
      </c>
      <c r="AB31" s="2" t="s">
        <v>2</v>
      </c>
      <c r="AC31" s="2" t="s">
        <v>2</v>
      </c>
      <c r="AD31" s="2" t="s">
        <v>2</v>
      </c>
      <c r="AE31" s="2" t="s">
        <v>2</v>
      </c>
      <c r="AF31" s="2" t="s">
        <v>2</v>
      </c>
      <c r="AG31" s="2" t="s">
        <v>2</v>
      </c>
      <c r="AH31" s="2" t="s">
        <v>2</v>
      </c>
      <c r="AI31" s="2" t="s">
        <v>2</v>
      </c>
      <c r="AJ31" s="2" t="s">
        <v>2</v>
      </c>
      <c r="AK31" s="2" t="s">
        <v>2</v>
      </c>
      <c r="AL31" s="2" t="s">
        <v>2</v>
      </c>
      <c r="AM31" s="2" t="s">
        <v>2</v>
      </c>
      <c r="AN31" s="2" t="s">
        <v>2</v>
      </c>
      <c r="AO31" s="2" t="s">
        <v>2</v>
      </c>
      <c r="AP31" s="2" t="s">
        <v>2</v>
      </c>
      <c r="AQ31" s="2" t="s">
        <v>2</v>
      </c>
    </row>
    <row r="32" spans="1:43" x14ac:dyDescent="0.25">
      <c r="A32" s="15"/>
      <c r="B32" s="8"/>
      <c r="C32" s="9"/>
      <c r="D32" s="30" t="s">
        <v>169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10"/>
      <c r="Q32" s="20" t="str">
        <f t="shared" si="2"/>
        <v>111111111111110</v>
      </c>
      <c r="R32" s="18" t="s">
        <v>1</v>
      </c>
      <c r="S32" s="2" t="s">
        <v>176</v>
      </c>
      <c r="T32" s="2" t="s">
        <v>2</v>
      </c>
      <c r="U32" s="2" t="s">
        <v>2</v>
      </c>
      <c r="V32" s="2" t="s">
        <v>2</v>
      </c>
      <c r="W32" s="2" t="s">
        <v>2</v>
      </c>
      <c r="X32" s="2" t="s">
        <v>2</v>
      </c>
      <c r="Y32" s="2" t="s">
        <v>2</v>
      </c>
      <c r="Z32" s="2" t="s">
        <v>2</v>
      </c>
      <c r="AA32" s="2" t="s">
        <v>2</v>
      </c>
      <c r="AB32" s="2" t="s">
        <v>2</v>
      </c>
      <c r="AC32" s="2" t="s">
        <v>2</v>
      </c>
      <c r="AD32" s="2" t="s">
        <v>2</v>
      </c>
      <c r="AE32" s="2" t="s">
        <v>2</v>
      </c>
      <c r="AF32" s="2" t="s">
        <v>2</v>
      </c>
      <c r="AG32" s="2" t="s">
        <v>2</v>
      </c>
      <c r="AH32" s="2" t="s">
        <v>2</v>
      </c>
      <c r="AI32" s="2" t="s">
        <v>2</v>
      </c>
      <c r="AJ32" s="2" t="s">
        <v>2</v>
      </c>
      <c r="AK32" s="2" t="s">
        <v>2</v>
      </c>
      <c r="AL32" s="2" t="s">
        <v>2</v>
      </c>
      <c r="AM32" s="2" t="s">
        <v>2</v>
      </c>
      <c r="AN32" s="2" t="s">
        <v>1</v>
      </c>
      <c r="AO32" s="2" t="s">
        <v>1</v>
      </c>
      <c r="AP32" s="2" t="s">
        <v>1</v>
      </c>
      <c r="AQ32" s="2" t="s">
        <v>2</v>
      </c>
    </row>
    <row r="33" spans="1:43" x14ac:dyDescent="0.25">
      <c r="A33" s="15"/>
      <c r="B33" s="8"/>
      <c r="C33" s="9"/>
      <c r="D33" s="9"/>
      <c r="E33" s="9"/>
      <c r="F33" s="9" t="s">
        <v>168</v>
      </c>
      <c r="H33" s="9"/>
      <c r="I33" s="9"/>
      <c r="J33" s="9"/>
      <c r="K33" s="9"/>
      <c r="L33" s="9"/>
      <c r="M33" s="9"/>
      <c r="N33" s="9"/>
      <c r="O33" s="9"/>
      <c r="P33" s="10"/>
      <c r="Q33" s="20" t="str">
        <f t="shared" si="2"/>
        <v>111000000001110</v>
      </c>
      <c r="R33" s="18" t="s">
        <v>0</v>
      </c>
      <c r="S33" s="42" t="s">
        <v>177</v>
      </c>
      <c r="T33" s="2" t="s">
        <v>2</v>
      </c>
      <c r="U33" s="2" t="s">
        <v>8</v>
      </c>
      <c r="V33" s="2" t="s">
        <v>109</v>
      </c>
      <c r="W33" s="2" t="s">
        <v>108</v>
      </c>
      <c r="X33" s="2" t="s">
        <v>107</v>
      </c>
      <c r="Y33" s="2" t="s">
        <v>106</v>
      </c>
      <c r="Z33" s="2" t="s">
        <v>116</v>
      </c>
      <c r="AA33" s="2" t="s">
        <v>2</v>
      </c>
      <c r="AB33" s="2" t="s">
        <v>2</v>
      </c>
      <c r="AC33" s="2" t="s">
        <v>2</v>
      </c>
      <c r="AD33" s="2" t="s">
        <v>2</v>
      </c>
      <c r="AE33" s="2" t="s">
        <v>2</v>
      </c>
      <c r="AF33" s="2" t="s">
        <v>2</v>
      </c>
      <c r="AG33" s="2" t="s">
        <v>2</v>
      </c>
      <c r="AH33" s="2" t="s">
        <v>2</v>
      </c>
      <c r="AI33" s="2" t="s">
        <v>2</v>
      </c>
      <c r="AJ33" s="2" t="s">
        <v>2</v>
      </c>
      <c r="AK33" s="2" t="s">
        <v>2</v>
      </c>
      <c r="AL33" s="2" t="s">
        <v>2</v>
      </c>
      <c r="AM33" s="2" t="s">
        <v>2</v>
      </c>
      <c r="AN33" s="2" t="s">
        <v>2</v>
      </c>
      <c r="AO33" s="2" t="s">
        <v>2</v>
      </c>
      <c r="AP33" s="2" t="s">
        <v>2</v>
      </c>
      <c r="AQ33" s="2" t="s">
        <v>2</v>
      </c>
    </row>
    <row r="34" spans="1:43" x14ac:dyDescent="0.25">
      <c r="A34" s="15"/>
      <c r="B34" s="29" t="s">
        <v>156</v>
      </c>
      <c r="C34" s="4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10"/>
      <c r="Q34" s="20" t="str">
        <f t="shared" si="2"/>
        <v>111000000001110</v>
      </c>
      <c r="R34" s="18" t="s">
        <v>0</v>
      </c>
    </row>
    <row r="35" spans="1:43" x14ac:dyDescent="0.25">
      <c r="A35" s="15"/>
      <c r="B35" s="8" t="s">
        <v>149</v>
      </c>
      <c r="C35" s="4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10"/>
      <c r="Q35" s="20" t="str">
        <f t="shared" si="2"/>
        <v>111000000001110</v>
      </c>
      <c r="R35" s="18" t="s">
        <v>0</v>
      </c>
    </row>
    <row r="36" spans="1:43" x14ac:dyDescent="0.25">
      <c r="A36" s="15"/>
      <c r="B36" s="8" t="s">
        <v>150</v>
      </c>
      <c r="C36" s="4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10"/>
      <c r="Q36" s="20" t="str">
        <f t="shared" si="2"/>
        <v>111000000001110</v>
      </c>
      <c r="R36" s="18" t="s">
        <v>0</v>
      </c>
    </row>
    <row r="37" spans="1:43" x14ac:dyDescent="0.25">
      <c r="A37" s="15"/>
      <c r="B37" s="8" t="s">
        <v>151</v>
      </c>
      <c r="C37" s="4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10"/>
      <c r="Q37" s="20" t="str">
        <f t="shared" si="2"/>
        <v>111000000001110</v>
      </c>
      <c r="R37" s="18" t="s">
        <v>0</v>
      </c>
    </row>
    <row r="38" spans="1:43" x14ac:dyDescent="0.25">
      <c r="A38" s="15"/>
      <c r="B38" s="8" t="s">
        <v>152</v>
      </c>
      <c r="C38" s="4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10"/>
      <c r="Q38" s="20" t="str">
        <f t="shared" si="2"/>
        <v>111000000001110</v>
      </c>
      <c r="R38" s="18" t="s">
        <v>0</v>
      </c>
    </row>
    <row r="39" spans="1:43" x14ac:dyDescent="0.25">
      <c r="A39" s="15"/>
      <c r="B39" s="8" t="s">
        <v>163</v>
      </c>
      <c r="C39" s="4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10"/>
      <c r="Q39" s="20" t="str">
        <f t="shared" si="2"/>
        <v>111111111111110</v>
      </c>
      <c r="R39" s="18" t="s">
        <v>1</v>
      </c>
    </row>
    <row r="40" spans="1:43" x14ac:dyDescent="0.25">
      <c r="A40" s="15"/>
      <c r="B40" s="8" t="s">
        <v>164</v>
      </c>
      <c r="C40" s="4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10"/>
      <c r="Q40" s="20" t="str">
        <f t="shared" si="2"/>
        <v>111111111111110</v>
      </c>
      <c r="R40" s="18" t="s">
        <v>1</v>
      </c>
    </row>
    <row r="41" spans="1:43" x14ac:dyDescent="0.25">
      <c r="A41" s="15"/>
      <c r="B41" s="8" t="s">
        <v>153</v>
      </c>
      <c r="C41" s="4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10"/>
      <c r="Q41" s="20" t="str">
        <f t="shared" si="2"/>
        <v>111111111111110</v>
      </c>
      <c r="R41" s="18" t="s">
        <v>1</v>
      </c>
    </row>
    <row r="42" spans="1:43" x14ac:dyDescent="0.25">
      <c r="A42" s="15"/>
      <c r="B42" s="8" t="s">
        <v>154</v>
      </c>
      <c r="C42" s="4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10"/>
      <c r="Q42" s="20" t="str">
        <f t="shared" si="2"/>
        <v>111000000001110</v>
      </c>
      <c r="R42" s="18" t="s">
        <v>0</v>
      </c>
    </row>
    <row r="43" spans="1:43" x14ac:dyDescent="0.25">
      <c r="A43" s="15"/>
      <c r="B43" s="8" t="s">
        <v>155</v>
      </c>
      <c r="C43" s="4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10"/>
      <c r="Q43" s="20" t="str">
        <f t="shared" si="2"/>
        <v>111000000001110</v>
      </c>
      <c r="R43" s="18" t="s">
        <v>0</v>
      </c>
    </row>
    <row r="44" spans="1:43" x14ac:dyDescent="0.25">
      <c r="A44" s="15"/>
      <c r="B44" s="8" t="s">
        <v>165</v>
      </c>
      <c r="C44" s="4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10"/>
      <c r="Q44" s="20" t="str">
        <f t="shared" si="2"/>
        <v>111000000001110</v>
      </c>
      <c r="R44" s="18" t="s">
        <v>0</v>
      </c>
    </row>
    <row r="45" spans="1:43" ht="15.75" thickBot="1" x14ac:dyDescent="0.3">
      <c r="A45" s="15"/>
      <c r="B45" s="11" t="s">
        <v>166</v>
      </c>
      <c r="C45" s="24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3"/>
      <c r="Q45" s="20" t="str">
        <f t="shared" si="2"/>
        <v>111000000001110</v>
      </c>
      <c r="R45" s="18" t="s">
        <v>0</v>
      </c>
    </row>
    <row r="46" spans="1:43" ht="15.75" thickBot="1" x14ac:dyDescent="0.3">
      <c r="A46" s="15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20" t="str">
        <f t="shared" si="2"/>
        <v>111000000001110</v>
      </c>
      <c r="R46" s="18" t="s">
        <v>0</v>
      </c>
    </row>
    <row r="47" spans="1:43" x14ac:dyDescent="0.25">
      <c r="A47" s="15"/>
      <c r="B47" s="5" t="s">
        <v>173</v>
      </c>
      <c r="C47" s="6"/>
      <c r="D47" s="23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20" t="str">
        <f t="shared" si="2"/>
        <v>111000000001110</v>
      </c>
      <c r="R47" s="18" t="s">
        <v>0</v>
      </c>
    </row>
    <row r="48" spans="1:43" x14ac:dyDescent="0.25">
      <c r="A48" s="15"/>
      <c r="B48" s="8" t="s">
        <v>174</v>
      </c>
      <c r="C48" s="9"/>
      <c r="D48" s="4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10"/>
      <c r="Q48" s="20" t="str">
        <f t="shared" si="2"/>
        <v>111000000001110</v>
      </c>
      <c r="R48" s="18" t="s">
        <v>0</v>
      </c>
    </row>
    <row r="49" spans="1:18" x14ac:dyDescent="0.25">
      <c r="A49" s="15"/>
      <c r="B49" s="8" t="s">
        <v>171</v>
      </c>
      <c r="C49" s="9"/>
      <c r="D49" s="4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10"/>
      <c r="Q49" s="20" t="str">
        <f t="shared" si="2"/>
        <v>111000000001110</v>
      </c>
      <c r="R49" s="18" t="s">
        <v>0</v>
      </c>
    </row>
    <row r="50" spans="1:18" x14ac:dyDescent="0.25">
      <c r="A50" s="15"/>
      <c r="B50" s="8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10"/>
      <c r="Q50" s="20" t="str">
        <f t="shared" si="2"/>
        <v>111000000001110</v>
      </c>
      <c r="R50" s="18" t="s">
        <v>0</v>
      </c>
    </row>
    <row r="51" spans="1:18" x14ac:dyDescent="0.25">
      <c r="A51" s="15"/>
      <c r="B51" s="8"/>
      <c r="C51" s="9" t="s">
        <v>172</v>
      </c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10"/>
      <c r="Q51" s="20" t="str">
        <f t="shared" si="2"/>
        <v>111000000001110</v>
      </c>
      <c r="R51" s="18" t="s">
        <v>0</v>
      </c>
    </row>
    <row r="52" spans="1:18" ht="15.75" thickBot="1" x14ac:dyDescent="0.3">
      <c r="A52" s="17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3"/>
      <c r="Q52" s="21" t="str">
        <f t="shared" si="2"/>
        <v>0</v>
      </c>
      <c r="R52" s="19" t="s">
        <v>2</v>
      </c>
    </row>
  </sheetData>
  <mergeCells count="2">
    <mergeCell ref="A1:P1"/>
    <mergeCell ref="Q28:R28"/>
  </mergeCells>
  <conditionalFormatting sqref="A2:P25">
    <cfRule type="cellIs" priority="1" operator="equal">
      <formula>"="</formula>
    </cfRule>
    <cfRule type="cellIs" dxfId="1" priority="2" operator="notBetween">
      <formula>1</formula>
      <formula>0</formula>
    </cfRule>
    <cfRule type="cellIs" dxfId="0" priority="3" operator="equal">
      <formula>1</formula>
    </cfRule>
  </conditionalFormatting>
  <pageMargins left="0.7" right="0.7" top="0.75" bottom="0.75" header="0.3" footer="0.3"/>
  <pageSetup scale="28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lete_matrix">
                <anchor moveWithCells="1" sizeWithCells="1">
                  <from>
                    <xdr:col>0</xdr:col>
                    <xdr:colOff>85725</xdr:colOff>
                    <xdr:row>25</xdr:row>
                    <xdr:rowOff>28575</xdr:rowOff>
                  </from>
                  <to>
                    <xdr:col>5</xdr:col>
                    <xdr:colOff>114300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py_matrix">
                <anchor moveWithCells="1" sizeWithCells="1">
                  <from>
                    <xdr:col>6</xdr:col>
                    <xdr:colOff>9525</xdr:colOff>
                    <xdr:row>25</xdr:row>
                    <xdr:rowOff>28575</xdr:rowOff>
                  </from>
                  <to>
                    <xdr:col>11</xdr:col>
                    <xdr:colOff>38100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elet_Vectors">
                <anchor moveWithCells="1" sizeWithCells="1">
                  <from>
                    <xdr:col>12</xdr:col>
                    <xdr:colOff>28575</xdr:colOff>
                    <xdr:row>25</xdr:row>
                    <xdr:rowOff>28575</xdr:rowOff>
                  </from>
                  <to>
                    <xdr:col>16</xdr:col>
                    <xdr:colOff>476250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_Vector">
                <anchor moveWithCells="1" sizeWithCells="1">
                  <from>
                    <xdr:col>16</xdr:col>
                    <xdr:colOff>600075</xdr:colOff>
                    <xdr:row>25</xdr:row>
                    <xdr:rowOff>28575</xdr:rowOff>
                  </from>
                  <to>
                    <xdr:col>17</xdr:col>
                    <xdr:colOff>676275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U36"/>
  <sheetViews>
    <sheetView topLeftCell="A22" zoomScale="85" zoomScaleNormal="85" workbookViewId="0">
      <selection activeCell="C51" sqref="C51"/>
    </sheetView>
  </sheetViews>
  <sheetFormatPr baseColWidth="10" defaultColWidth="9.140625" defaultRowHeight="15" x14ac:dyDescent="0.25"/>
  <cols>
    <col min="1" max="1" width="12.7109375" customWidth="1"/>
    <col min="16" max="16" width="13.7109375" customWidth="1"/>
  </cols>
  <sheetData>
    <row r="1" spans="1:21" x14ac:dyDescent="0.25">
      <c r="E1" s="35" t="s">
        <v>41</v>
      </c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</row>
    <row r="2" spans="1:21" x14ac:dyDescent="0.25">
      <c r="A2" t="s">
        <v>42</v>
      </c>
    </row>
    <row r="3" spans="1:21" x14ac:dyDescent="0.25">
      <c r="A3" t="str">
        <f>IF('Editor 16x24 bits'!T2&lt;&gt;"", 'Editor 16x24 bits'!T2 &amp; "," &amp;'Editor 16x24 bits'!U2&amp;"," &amp;'Editor 16x24 bits'!V2&amp;"," &amp;'Editor 16x24 bits'!W2&amp;"," &amp;'Editor 16x24 bits'!X2&amp;"," &amp;'Editor 16x24 bits'!Y2&amp;"," &amp;'Editor 16x24 bits'!Z2&amp;"," &amp;'Editor 16x24 bits'!AA2&amp;"," &amp;'Editor 16x24 bits'!AB2&amp;"," &amp;'Editor 16x24 bits'!AC2&amp;"," &amp;'Editor 16x24 bits'!AD2&amp;"," &amp;'Editor 16x24 bits'!AE2&amp;"," &amp;'Editor 16x24 bits'!AF2&amp;"," &amp;'Editor 16x24 bits'!AG2&amp;"," &amp;'Editor 16x24 bits'!AH2&amp;"," &amp;'Editor 16x24 bits'!AI2&amp;"," &amp;'Editor 16x24 bits'!AJ2&amp;"," &amp;'Editor 16x24 bits'!AK2&amp;"," &amp;'Editor 16x24 bits'!AL2&amp;"," &amp;'Editor 16x24 bits'!AM2&amp;"," &amp;'Editor 16x24 bits'!AN2&amp;"," &amp;'Editor 16x24 bits'!AO2&amp;"," &amp;'Editor 16x24 bits'!AP2&amp;"," &amp;'Editor 16x24 bits'!AQ2 &amp; ",  // Character " &amp;    'Editor 16x24 bits'!S2)</f>
        <v>0x0000,0x1FF8,0x3FFC,0x7FFE,0x700E,0x700E,0x700E,0x700E,0x700E,0x700E,0x7FFE,0x7FFE,0x7FFE,0x700E,0x700E,0x700E,0x700E,0x700E,0x700E,0x700E,0x700E,0x700E,0x700E,0x0000,  // Character A</v>
      </c>
    </row>
    <row r="4" spans="1:21" x14ac:dyDescent="0.25">
      <c r="A4" t="str">
        <f>IF('Editor 16x24 bits'!T3&lt;&gt;"", 'Editor 16x24 bits'!T3 &amp; "," &amp;'Editor 16x24 bits'!U3&amp;"," &amp;'Editor 16x24 bits'!V3&amp;"," &amp;'Editor 16x24 bits'!W3&amp;"," &amp;'Editor 16x24 bits'!X3&amp;"," &amp;'Editor 16x24 bits'!Y3&amp;"," &amp;'Editor 16x24 bits'!Z3&amp;"," &amp;'Editor 16x24 bits'!AA3&amp;"," &amp;'Editor 16x24 bits'!AB3&amp;"," &amp;'Editor 16x24 bits'!AC3&amp;"," &amp;'Editor 16x24 bits'!AD3&amp;"," &amp;'Editor 16x24 bits'!AE3&amp;"," &amp;'Editor 16x24 bits'!AF3&amp;"," &amp;'Editor 16x24 bits'!AG3&amp;"," &amp;'Editor 16x24 bits'!AH3&amp;"," &amp;'Editor 16x24 bits'!AI3&amp;"," &amp;'Editor 16x24 bits'!AJ3&amp;"," &amp;'Editor 16x24 bits'!AK3&amp;"," &amp;'Editor 16x24 bits'!AL3&amp;"," &amp;'Editor 16x24 bits'!AM3&amp;"," &amp;'Editor 16x24 bits'!AN3&amp;"," &amp;'Editor 16x24 bits'!AO3&amp;"," &amp;'Editor 16x24 bits'!AP3&amp;"," &amp;'Editor 16x24 bits'!AQ3 &amp; ",  // Character " &amp;    'Editor 16x24 bits'!S3)</f>
        <v>0x0000,0x7FF8,0x7FFC,0x7FFC,0x700E,0x7006,0x7006,0x7006,0x7006,0x7006,0x700E,0x7FFC,0x7FF8,0x7FFC,0x700E,0x7006,0x7006,0x7006,0x7006,0x700E,0x7FFE,0x7FFC,0x7FF8,0x0000,  // Character B</v>
      </c>
    </row>
    <row r="5" spans="1:21" x14ac:dyDescent="0.25">
      <c r="A5" t="str">
        <f>IF('Editor 16x24 bits'!T4&lt;&gt;"", 'Editor 16x24 bits'!T4 &amp; "," &amp;'Editor 16x24 bits'!U4&amp;"," &amp;'Editor 16x24 bits'!V4&amp;"," &amp;'Editor 16x24 bits'!W4&amp;"," &amp;'Editor 16x24 bits'!X4&amp;"," &amp;'Editor 16x24 bits'!Y4&amp;"," &amp;'Editor 16x24 bits'!Z4&amp;"," &amp;'Editor 16x24 bits'!AA4&amp;"," &amp;'Editor 16x24 bits'!AB4&amp;"," &amp;'Editor 16x24 bits'!AC4&amp;"," &amp;'Editor 16x24 bits'!AD4&amp;"," &amp;'Editor 16x24 bits'!AE4&amp;"," &amp;'Editor 16x24 bits'!AF4&amp;"," &amp;'Editor 16x24 bits'!AG4&amp;"," &amp;'Editor 16x24 bits'!AH4&amp;"," &amp;'Editor 16x24 bits'!AI4&amp;"," &amp;'Editor 16x24 bits'!AJ4&amp;"," &amp;'Editor 16x24 bits'!AK4&amp;"," &amp;'Editor 16x24 bits'!AL4&amp;"," &amp;'Editor 16x24 bits'!AM4&amp;"," &amp;'Editor 16x24 bits'!AN4&amp;"," &amp;'Editor 16x24 bits'!AO4&amp;"," &amp;'Editor 16x24 bits'!AP4&amp;"," &amp;'Editor 16x24 bits'!AQ4 &amp; ",  // Character " &amp;    'Editor 16x24 bits'!S4)</f>
        <v>0x0000,0x1FF8,0x3FFC,0x7FFE,0x781E,0x700E,0x7000,0x7000,0x7000,0x7000,0x7000,0x7000,0x7000,0x7000,0x7000,0x7000,0x7000,0x7000,0x700E,0x781E,0x7FFE,0x3FFC,0x1FF8,0x0000,  // Character C</v>
      </c>
    </row>
    <row r="6" spans="1:21" x14ac:dyDescent="0.25">
      <c r="A6" t="str">
        <f>IF('Editor 16x24 bits'!T5&lt;&gt;"", 'Editor 16x24 bits'!T5 &amp; "," &amp;'Editor 16x24 bits'!U5&amp;"," &amp;'Editor 16x24 bits'!V5&amp;"," &amp;'Editor 16x24 bits'!W5&amp;"," &amp;'Editor 16x24 bits'!X5&amp;"," &amp;'Editor 16x24 bits'!Y5&amp;"," &amp;'Editor 16x24 bits'!Z5&amp;"," &amp;'Editor 16x24 bits'!AA5&amp;"," &amp;'Editor 16x24 bits'!AB5&amp;"," &amp;'Editor 16x24 bits'!AC5&amp;"," &amp;'Editor 16x24 bits'!AD5&amp;"," &amp;'Editor 16x24 bits'!AE5&amp;"," &amp;'Editor 16x24 bits'!AF5&amp;"," &amp;'Editor 16x24 bits'!AG5&amp;"," &amp;'Editor 16x24 bits'!AH5&amp;"," &amp;'Editor 16x24 bits'!AI5&amp;"," &amp;'Editor 16x24 bits'!AJ5&amp;"," &amp;'Editor 16x24 bits'!AK5&amp;"," &amp;'Editor 16x24 bits'!AL5&amp;"," &amp;'Editor 16x24 bits'!AM5&amp;"," &amp;'Editor 16x24 bits'!AN5&amp;"," &amp;'Editor 16x24 bits'!AO5&amp;"," &amp;'Editor 16x24 bits'!AP5&amp;"," &amp;'Editor 16x24 bits'!AQ5 &amp; ",  // Character " &amp;    'Editor 16x24 bits'!S5)</f>
        <v>0x0000,0x7FF8,0x7FF8,0x7FF8,0x7038,0x701C,0x701C,0x700C,0x700E,0x700E,0x7006,0x7006,0x7006,0x7006,0x700E,0x700E,0x700C,0x701C,0x701C,0x7038,0x7FF8,0x7FF8,0x7FF8,0x0000,  // Character D</v>
      </c>
    </row>
    <row r="7" spans="1:21" x14ac:dyDescent="0.25">
      <c r="A7" t="str">
        <f>IF('Editor 16x24 bits'!T6&lt;&gt;"", 'Editor 16x24 bits'!T6 &amp; "," &amp;'Editor 16x24 bits'!U6&amp;"," &amp;'Editor 16x24 bits'!V6&amp;"," &amp;'Editor 16x24 bits'!W6&amp;"," &amp;'Editor 16x24 bits'!X6&amp;"," &amp;'Editor 16x24 bits'!Y6&amp;"," &amp;'Editor 16x24 bits'!Z6&amp;"," &amp;'Editor 16x24 bits'!AA6&amp;"," &amp;'Editor 16x24 bits'!AB6&amp;"," &amp;'Editor 16x24 bits'!AC6&amp;"," &amp;'Editor 16x24 bits'!AD6&amp;"," &amp;'Editor 16x24 bits'!AE6&amp;"," &amp;'Editor 16x24 bits'!AF6&amp;"," &amp;'Editor 16x24 bits'!AG6&amp;"," &amp;'Editor 16x24 bits'!AH6&amp;"," &amp;'Editor 16x24 bits'!AI6&amp;"," &amp;'Editor 16x24 bits'!AJ6&amp;"," &amp;'Editor 16x24 bits'!AK6&amp;"," &amp;'Editor 16x24 bits'!AL6&amp;"," &amp;'Editor 16x24 bits'!AM6&amp;"," &amp;'Editor 16x24 bits'!AN6&amp;"," &amp;'Editor 16x24 bits'!AO6&amp;"," &amp;'Editor 16x24 bits'!AP6&amp;"," &amp;'Editor 16x24 bits'!AQ6 &amp; ",  // Character " &amp;    'Editor 16x24 bits'!S6)</f>
        <v>0x0000,0x7FFE,0x7FFE,0x7FFE,0x7000,0x7000,0x7000,0x7000,0x7000,0x7000,0x7FF8,0x7FF8,0x7FF8,0x7000,0x7000,0x7000,0x7000,0x7000,0x7000,0x7000,0x7FFE,0x7FFE,0x7FFE,0x0000,  // Character E</v>
      </c>
    </row>
    <row r="8" spans="1:21" x14ac:dyDescent="0.25">
      <c r="A8" t="str">
        <f>IF('Editor 16x24 bits'!T7&lt;&gt;"", 'Editor 16x24 bits'!T7 &amp; "," &amp;'Editor 16x24 bits'!U7&amp;"," &amp;'Editor 16x24 bits'!V7&amp;"," &amp;'Editor 16x24 bits'!W7&amp;"," &amp;'Editor 16x24 bits'!X7&amp;"," &amp;'Editor 16x24 bits'!Y7&amp;"," &amp;'Editor 16x24 bits'!Z7&amp;"," &amp;'Editor 16x24 bits'!AA7&amp;"," &amp;'Editor 16x24 bits'!AB7&amp;"," &amp;'Editor 16x24 bits'!AC7&amp;"," &amp;'Editor 16x24 bits'!AD7&amp;"," &amp;'Editor 16x24 bits'!AE7&amp;"," &amp;'Editor 16x24 bits'!AF7&amp;"," &amp;'Editor 16x24 bits'!AG7&amp;"," &amp;'Editor 16x24 bits'!AH7&amp;"," &amp;'Editor 16x24 bits'!AI7&amp;"," &amp;'Editor 16x24 bits'!AJ7&amp;"," &amp;'Editor 16x24 bits'!AK7&amp;"," &amp;'Editor 16x24 bits'!AL7&amp;"," &amp;'Editor 16x24 bits'!AM7&amp;"," &amp;'Editor 16x24 bits'!AN7&amp;"," &amp;'Editor 16x24 bits'!AO7&amp;"," &amp;'Editor 16x24 bits'!AP7&amp;"," &amp;'Editor 16x24 bits'!AQ7 &amp; ",  // Character " &amp;    'Editor 16x24 bits'!S7)</f>
        <v>0x0000,0x7FFE,0x7FFE,0x7FFE,0x7000,0x7000,0x7000,0x7000,0x7000,0x7000,0x7FF8,0x7FF8,0x7FF8,0x7000,0x7000,0x7000,0x7000,0x7000,0x7000,0x7000,0x7000,0x7000,0x7000,0x0000,  // Character F</v>
      </c>
    </row>
    <row r="9" spans="1:21" x14ac:dyDescent="0.25">
      <c r="A9" t="str">
        <f>IF('Editor 16x24 bits'!T8&lt;&gt;"", 'Editor 16x24 bits'!T8 &amp; "," &amp;'Editor 16x24 bits'!U8&amp;"," &amp;'Editor 16x24 bits'!V8&amp;"," &amp;'Editor 16x24 bits'!W8&amp;"," &amp;'Editor 16x24 bits'!X8&amp;"," &amp;'Editor 16x24 bits'!Y8&amp;"," &amp;'Editor 16x24 bits'!Z8&amp;"," &amp;'Editor 16x24 bits'!AA8&amp;"," &amp;'Editor 16x24 bits'!AB8&amp;"," &amp;'Editor 16x24 bits'!AC8&amp;"," &amp;'Editor 16x24 bits'!AD8&amp;"," &amp;'Editor 16x24 bits'!AE8&amp;"," &amp;'Editor 16x24 bits'!AF8&amp;"," &amp;'Editor 16x24 bits'!AG8&amp;"," &amp;'Editor 16x24 bits'!AH8&amp;"," &amp;'Editor 16x24 bits'!AI8&amp;"," &amp;'Editor 16x24 bits'!AJ8&amp;"," &amp;'Editor 16x24 bits'!AK8&amp;"," &amp;'Editor 16x24 bits'!AL8&amp;"," &amp;'Editor 16x24 bits'!AM8&amp;"," &amp;'Editor 16x24 bits'!AN8&amp;"," &amp;'Editor 16x24 bits'!AO8&amp;"," &amp;'Editor 16x24 bits'!AP8&amp;"," &amp;'Editor 16x24 bits'!AQ8 &amp; ",  // Character " &amp;    'Editor 16x24 bits'!S8)</f>
        <v>0x0000,0x1FFE,0x3FFE,0x7FFE,0x7000,0x7000,0x7000,0x7000,0x7000,0x7000,0x7000,0x7000,0x7000,0x7000,0x707E,0x707E,0x707E,0x700E,0x700E,0x700E,0x7FFE,0x3FFC,0x1FF8,0x0000,  // Character G</v>
      </c>
    </row>
    <row r="10" spans="1:21" x14ac:dyDescent="0.25">
      <c r="A10" t="str">
        <f>IF('Editor 16x24 bits'!T9&lt;&gt;"", 'Editor 16x24 bits'!T9 &amp; "," &amp;'Editor 16x24 bits'!U9&amp;"," &amp;'Editor 16x24 bits'!V9&amp;"," &amp;'Editor 16x24 bits'!W9&amp;"," &amp;'Editor 16x24 bits'!X9&amp;"," &amp;'Editor 16x24 bits'!Y9&amp;"," &amp;'Editor 16x24 bits'!Z9&amp;"," &amp;'Editor 16x24 bits'!AA9&amp;"," &amp;'Editor 16x24 bits'!AB9&amp;"," &amp;'Editor 16x24 bits'!AC9&amp;"," &amp;'Editor 16x24 bits'!AD9&amp;"," &amp;'Editor 16x24 bits'!AE9&amp;"," &amp;'Editor 16x24 bits'!AF9&amp;"," &amp;'Editor 16x24 bits'!AG9&amp;"," &amp;'Editor 16x24 bits'!AH9&amp;"," &amp;'Editor 16x24 bits'!AI9&amp;"," &amp;'Editor 16x24 bits'!AJ9&amp;"," &amp;'Editor 16x24 bits'!AK9&amp;"," &amp;'Editor 16x24 bits'!AL9&amp;"," &amp;'Editor 16x24 bits'!AM9&amp;"," &amp;'Editor 16x24 bits'!AN9&amp;"," &amp;'Editor 16x24 bits'!AO9&amp;"," &amp;'Editor 16x24 bits'!AP9&amp;"," &amp;'Editor 16x24 bits'!AQ9 &amp; ",  // Character " &amp;    'Editor 16x24 bits'!S9)</f>
        <v>0x0000,0x700E,0x700E,0x700E,0x700E,0x700E,0x700E,0x700E,0x700E,0x700E,0x700E,0x7FFE,0x7FFE,0x7FFE,0x700E,0x700E,0x700E,0x700E,0x700E,0x700E,0x700E,0x700E,0x700E,0x0000,  // Character H</v>
      </c>
    </row>
    <row r="11" spans="1:21" x14ac:dyDescent="0.25">
      <c r="A11" t="str">
        <f>IF('Editor 16x24 bits'!T10&lt;&gt;"", 'Editor 16x24 bits'!T10 &amp; "," &amp;'Editor 16x24 bits'!U10&amp;"," &amp;'Editor 16x24 bits'!V10&amp;"," &amp;'Editor 16x24 bits'!W10&amp;"," &amp;'Editor 16x24 bits'!X10&amp;"," &amp;'Editor 16x24 bits'!Y10&amp;"," &amp;'Editor 16x24 bits'!Z10&amp;"," &amp;'Editor 16x24 bits'!AA10&amp;"," &amp;'Editor 16x24 bits'!AB10&amp;"," &amp;'Editor 16x24 bits'!AC10&amp;"," &amp;'Editor 16x24 bits'!AD10&amp;"," &amp;'Editor 16x24 bits'!AE10&amp;"," &amp;'Editor 16x24 bits'!AF10&amp;"," &amp;'Editor 16x24 bits'!AG10&amp;"," &amp;'Editor 16x24 bits'!AH10&amp;"," &amp;'Editor 16x24 bits'!AI10&amp;"," &amp;'Editor 16x24 bits'!AJ10&amp;"," &amp;'Editor 16x24 bits'!AK10&amp;"," &amp;'Editor 16x24 bits'!AL10&amp;"," &amp;'Editor 16x24 bits'!AM10&amp;"," &amp;'Editor 16x24 bits'!AN10&amp;"," &amp;'Editor 16x24 bits'!AO10&amp;"," &amp;'Editor 16x24 bits'!AP10&amp;"," &amp;'Editor 16x24 bits'!AQ10 &amp; ",  // Character " &amp;    'Editor 16x24 bits'!S10)</f>
        <v>0x0000,0x7FFE,0x7FFE,0x7FFE,0x7FFE,0x03C0,0x03C0,0x03C0,0x03C0,0x03C0,0x03C0,0x03C0,0x03C0,0x03C0,0x03C0,0x03C0,0x03C0,0x03C0,0x03C0,0x7FFE,0x7FFE,0x7FFE,0x7FFE,0x0000,  // Character I</v>
      </c>
    </row>
    <row r="12" spans="1:21" x14ac:dyDescent="0.25">
      <c r="A12" t="str">
        <f>IF('Editor 16x24 bits'!T11&lt;&gt;"", 'Editor 16x24 bits'!T11 &amp; "," &amp;'Editor 16x24 bits'!U11&amp;"," &amp;'Editor 16x24 bits'!V11&amp;"," &amp;'Editor 16x24 bits'!W11&amp;"," &amp;'Editor 16x24 bits'!X11&amp;"," &amp;'Editor 16x24 bits'!Y11&amp;"," &amp;'Editor 16x24 bits'!Z11&amp;"," &amp;'Editor 16x24 bits'!AA11&amp;"," &amp;'Editor 16x24 bits'!AB11&amp;"," &amp;'Editor 16x24 bits'!AC11&amp;"," &amp;'Editor 16x24 bits'!AD11&amp;"," &amp;'Editor 16x24 bits'!AE11&amp;"," &amp;'Editor 16x24 bits'!AF11&amp;"," &amp;'Editor 16x24 bits'!AG11&amp;"," &amp;'Editor 16x24 bits'!AH11&amp;"," &amp;'Editor 16x24 bits'!AI11&amp;"," &amp;'Editor 16x24 bits'!AJ11&amp;"," &amp;'Editor 16x24 bits'!AK11&amp;"," &amp;'Editor 16x24 bits'!AL11&amp;"," &amp;'Editor 16x24 bits'!AM11&amp;"," &amp;'Editor 16x24 bits'!AN11&amp;"," &amp;'Editor 16x24 bits'!AO11&amp;"," &amp;'Editor 16x24 bits'!AP11&amp;"," &amp;'Editor 16x24 bits'!AQ11 &amp; ",  // Character " &amp;    'Editor 16x24 bits'!S11)</f>
        <v>0x0000,0x007E,0x007E,0x007E,0x000E,0x000E,0x000E,0x000E,0x000E,0x000E,0x000E,0x000E,0x7F8E,0x7F8E,0x7F8E,0x700E,0x700E,0x700E,0x780E,0x7C1E,0x3FFE,0x1FFC,0x0FF8,0x0000,  // Character J</v>
      </c>
    </row>
    <row r="13" spans="1:21" x14ac:dyDescent="0.25">
      <c r="A13" t="str">
        <f>IF('Editor 16x24 bits'!T12&lt;&gt;"", 'Editor 16x24 bits'!T12 &amp; "," &amp;'Editor 16x24 bits'!U12&amp;"," &amp;'Editor 16x24 bits'!V12&amp;"," &amp;'Editor 16x24 bits'!W12&amp;"," &amp;'Editor 16x24 bits'!X12&amp;"," &amp;'Editor 16x24 bits'!Y12&amp;"," &amp;'Editor 16x24 bits'!Z12&amp;"," &amp;'Editor 16x24 bits'!AA12&amp;"," &amp;'Editor 16x24 bits'!AB12&amp;"," &amp;'Editor 16x24 bits'!AC12&amp;"," &amp;'Editor 16x24 bits'!AD12&amp;"," &amp;'Editor 16x24 bits'!AE12&amp;"," &amp;'Editor 16x24 bits'!AF12&amp;"," &amp;'Editor 16x24 bits'!AG12&amp;"," &amp;'Editor 16x24 bits'!AH12&amp;"," &amp;'Editor 16x24 bits'!AI12&amp;"," &amp;'Editor 16x24 bits'!AJ12&amp;"," &amp;'Editor 16x24 bits'!AK12&amp;"," &amp;'Editor 16x24 bits'!AL12&amp;"," &amp;'Editor 16x24 bits'!AM12&amp;"," &amp;'Editor 16x24 bits'!AN12&amp;"," &amp;'Editor 16x24 bits'!AO12&amp;"," &amp;'Editor 16x24 bits'!AP12&amp;"," &amp;'Editor 16x24 bits'!AQ12 &amp; ",  // Character " &amp;    'Editor 16x24 bits'!S12)</f>
        <v>0x0000,0x700E,0x700E,0x701E,0x703E,0x7078,0x70F0,0x71E0,0x73C0,0x7780,0x7F00,0x7E00,0x7E00,0x7F00,0x7780,0x73C0,0x71E0,0x70F0,0x7078,0x703E,0x701E,0x700E,0x700E,0x0000,  // Character K</v>
      </c>
    </row>
    <row r="14" spans="1:21" x14ac:dyDescent="0.25">
      <c r="A14" t="str">
        <f>IF('Editor 16x24 bits'!T13&lt;&gt;"", 'Editor 16x24 bits'!T13 &amp; "," &amp;'Editor 16x24 bits'!U13&amp;"," &amp;'Editor 16x24 bits'!V13&amp;"," &amp;'Editor 16x24 bits'!W13&amp;"," &amp;'Editor 16x24 bits'!X13&amp;"," &amp;'Editor 16x24 bits'!Y13&amp;"," &amp;'Editor 16x24 bits'!Z13&amp;"," &amp;'Editor 16x24 bits'!AA13&amp;"," &amp;'Editor 16x24 bits'!AB13&amp;"," &amp;'Editor 16x24 bits'!AC13&amp;"," &amp;'Editor 16x24 bits'!AD13&amp;"," &amp;'Editor 16x24 bits'!AE13&amp;"," &amp;'Editor 16x24 bits'!AF13&amp;"," &amp;'Editor 16x24 bits'!AG13&amp;"," &amp;'Editor 16x24 bits'!AH13&amp;"," &amp;'Editor 16x24 bits'!AI13&amp;"," &amp;'Editor 16x24 bits'!AJ13&amp;"," &amp;'Editor 16x24 bits'!AK13&amp;"," &amp;'Editor 16x24 bits'!AL13&amp;"," &amp;'Editor 16x24 bits'!AM13&amp;"," &amp;'Editor 16x24 bits'!AN13&amp;"," &amp;'Editor 16x24 bits'!AO13&amp;"," &amp;'Editor 16x24 bits'!AP13&amp;"," &amp;'Editor 16x24 bits'!AQ13 &amp; ",  // Character " &amp;    'Editor 16x24 bits'!S13)</f>
        <v>0x0000,0x7000,0x7000,0x7000,0x7000,0x7000,0x7000,0x7000,0x7000,0x7000,0x7000,0x7000,0x7000,0x7000,0x7000,0x7000,0x7000,0x7000,0x7000,0x7000,0x7FFE,0x7FFE,0x7FFE,0x0000,  // Character L</v>
      </c>
    </row>
    <row r="15" spans="1:21" x14ac:dyDescent="0.25">
      <c r="A15" t="str">
        <f>IF('Editor 16x24 bits'!T14&lt;&gt;"", 'Editor 16x24 bits'!T14 &amp; "," &amp;'Editor 16x24 bits'!U14&amp;"," &amp;'Editor 16x24 bits'!V14&amp;"," &amp;'Editor 16x24 bits'!W14&amp;"," &amp;'Editor 16x24 bits'!X14&amp;"," &amp;'Editor 16x24 bits'!Y14&amp;"," &amp;'Editor 16x24 bits'!Z14&amp;"," &amp;'Editor 16x24 bits'!AA14&amp;"," &amp;'Editor 16x24 bits'!AB14&amp;"," &amp;'Editor 16x24 bits'!AC14&amp;"," &amp;'Editor 16x24 bits'!AD14&amp;"," &amp;'Editor 16x24 bits'!AE14&amp;"," &amp;'Editor 16x24 bits'!AF14&amp;"," &amp;'Editor 16x24 bits'!AG14&amp;"," &amp;'Editor 16x24 bits'!AH14&amp;"," &amp;'Editor 16x24 bits'!AI14&amp;"," &amp;'Editor 16x24 bits'!AJ14&amp;"," &amp;'Editor 16x24 bits'!AK14&amp;"," &amp;'Editor 16x24 bits'!AL14&amp;"," &amp;'Editor 16x24 bits'!AM14&amp;"," &amp;'Editor 16x24 bits'!AN14&amp;"," &amp;'Editor 16x24 bits'!AO14&amp;"," &amp;'Editor 16x24 bits'!AP14&amp;"," &amp;'Editor 16x24 bits'!AQ14 &amp; ",  // Character " &amp;    'Editor 16x24 bits'!S14)</f>
        <v>0x0000,0x700E,0x781E,0x7C3E,0x7E7E,0x77EE,0x73CE,0x718E,0x700E,0x700E,0x700E,0x700E,0x700E,0x700E,0x700E,0x700E,0x700E,0x700E,0x700E,0x700E,0x700E,0x700E,0x700E,0x0000,  // Character M</v>
      </c>
    </row>
    <row r="16" spans="1:21" x14ac:dyDescent="0.25">
      <c r="A16" t="str">
        <f>IF('Editor 16x24 bits'!T15&lt;&gt;"", 'Editor 16x24 bits'!T15 &amp; "," &amp;'Editor 16x24 bits'!U15&amp;"," &amp;'Editor 16x24 bits'!V15&amp;"," &amp;'Editor 16x24 bits'!W15&amp;"," &amp;'Editor 16x24 bits'!X15&amp;"," &amp;'Editor 16x24 bits'!Y15&amp;"," &amp;'Editor 16x24 bits'!Z15&amp;"," &amp;'Editor 16x24 bits'!AA15&amp;"," &amp;'Editor 16x24 bits'!AB15&amp;"," &amp;'Editor 16x24 bits'!AC15&amp;"," &amp;'Editor 16x24 bits'!AD15&amp;"," &amp;'Editor 16x24 bits'!AE15&amp;"," &amp;'Editor 16x24 bits'!AF15&amp;"," &amp;'Editor 16x24 bits'!AG15&amp;"," &amp;'Editor 16x24 bits'!AH15&amp;"," &amp;'Editor 16x24 bits'!AI15&amp;"," &amp;'Editor 16x24 bits'!AJ15&amp;"," &amp;'Editor 16x24 bits'!AK15&amp;"," &amp;'Editor 16x24 bits'!AL15&amp;"," &amp;'Editor 16x24 bits'!AM15&amp;"," &amp;'Editor 16x24 bits'!AN15&amp;"," &amp;'Editor 16x24 bits'!AO15&amp;"," &amp;'Editor 16x24 bits'!AP15&amp;"," &amp;'Editor 16x24 bits'!AQ15 &amp; ",  // Character " &amp;    'Editor 16x24 bits'!S15)</f>
        <v>0x0000,0x700E,0x700E,0x700E,0x780E,0x7C0E,0x7C0E,0x7E0E,0x760E,0x730E,0x730E,0x718E,0x718E,0x70CE,0x70EE,0x706E,0x707E,0x703E,0x701E,0x701E,0x700E,0x700E,0x700E,0x0000,  // Character N</v>
      </c>
    </row>
    <row r="17" spans="1:1" x14ac:dyDescent="0.25">
      <c r="A17" t="str">
        <f>IF('Editor 16x24 bits'!T16&lt;&gt;"", 'Editor 16x24 bits'!T16 &amp; "," &amp;'Editor 16x24 bits'!U16&amp;"," &amp;'Editor 16x24 bits'!V16&amp;"," &amp;'Editor 16x24 bits'!W16&amp;"," &amp;'Editor 16x24 bits'!X16&amp;"," &amp;'Editor 16x24 bits'!Y16&amp;"," &amp;'Editor 16x24 bits'!Z16&amp;"," &amp;'Editor 16x24 bits'!AA16&amp;"," &amp;'Editor 16x24 bits'!AB16&amp;"," &amp;'Editor 16x24 bits'!AC16&amp;"," &amp;'Editor 16x24 bits'!AD16&amp;"," &amp;'Editor 16x24 bits'!AE16&amp;"," &amp;'Editor 16x24 bits'!AF16&amp;"," &amp;'Editor 16x24 bits'!AG16&amp;"," &amp;'Editor 16x24 bits'!AH16&amp;"," &amp;'Editor 16x24 bits'!AI16&amp;"," &amp;'Editor 16x24 bits'!AJ16&amp;"," &amp;'Editor 16x24 bits'!AK16&amp;"," &amp;'Editor 16x24 bits'!AL16&amp;"," &amp;'Editor 16x24 bits'!AM16&amp;"," &amp;'Editor 16x24 bits'!AN16&amp;"," &amp;'Editor 16x24 bits'!AO16&amp;"," &amp;'Editor 16x24 bits'!AP16&amp;"," &amp;'Editor 16x24 bits'!AQ16 &amp; ",  // Character " &amp;    'Editor 16x24 bits'!S16)</f>
        <v>0x0000,0x0FF0,0x1FF8,0x3FFC,0x700E,0x700E,0x700E,0x700E,0x700E,0x700E,0x700E,0x700E,0x700E,0x700E,0x700E,0x700E,0x700E,0x700E,0x700E,0x700E,0x7FFC,0x3FF8,0x1FF0,0x0000,  // Character O</v>
      </c>
    </row>
    <row r="18" spans="1:1" x14ac:dyDescent="0.25">
      <c r="A18" t="str">
        <f>IF('Editor 16x24 bits'!T17&lt;&gt;"", 'Editor 16x24 bits'!T17 &amp; "," &amp;'Editor 16x24 bits'!U17&amp;"," &amp;'Editor 16x24 bits'!V17&amp;"," &amp;'Editor 16x24 bits'!W17&amp;"," &amp;'Editor 16x24 bits'!X17&amp;"," &amp;'Editor 16x24 bits'!Y17&amp;"," &amp;'Editor 16x24 bits'!Z17&amp;"," &amp;'Editor 16x24 bits'!AA17&amp;"," &amp;'Editor 16x24 bits'!AB17&amp;"," &amp;'Editor 16x24 bits'!AC17&amp;"," &amp;'Editor 16x24 bits'!AD17&amp;"," &amp;'Editor 16x24 bits'!AE17&amp;"," &amp;'Editor 16x24 bits'!AF17&amp;"," &amp;'Editor 16x24 bits'!AG17&amp;"," &amp;'Editor 16x24 bits'!AH17&amp;"," &amp;'Editor 16x24 bits'!AI17&amp;"," &amp;'Editor 16x24 bits'!AJ17&amp;"," &amp;'Editor 16x24 bits'!AK17&amp;"," &amp;'Editor 16x24 bits'!AL17&amp;"," &amp;'Editor 16x24 bits'!AM17&amp;"," &amp;'Editor 16x24 bits'!AN17&amp;"," &amp;'Editor 16x24 bits'!AO17&amp;"," &amp;'Editor 16x24 bits'!AP17&amp;"," &amp;'Editor 16x24 bits'!AQ17 &amp; ",  // Character " &amp;    'Editor 16x24 bits'!S17)</f>
        <v>0x0000,0x7FF0,0x7FF8,0x7FFC,0x700E,0x700E,0x700E,0x700E,0x700E,0x700E,0x700E,0x700E,0x700C,0x7FFC,0x7FF8,0x7FF0,0x7000,0x7000,0x7000,0x7000,0x7000,0x7000,0x7000,0x0000,  // Character P</v>
      </c>
    </row>
    <row r="19" spans="1:1" x14ac:dyDescent="0.25">
      <c r="A19" t="str">
        <f>IF('Editor 16x24 bits'!T18&lt;&gt;"", 'Editor 16x24 bits'!T18 &amp; "," &amp;'Editor 16x24 bits'!U18&amp;"," &amp;'Editor 16x24 bits'!V18&amp;"," &amp;'Editor 16x24 bits'!W18&amp;"," &amp;'Editor 16x24 bits'!X18&amp;"," &amp;'Editor 16x24 bits'!Y18&amp;"," &amp;'Editor 16x24 bits'!Z18&amp;"," &amp;'Editor 16x24 bits'!AA18&amp;"," &amp;'Editor 16x24 bits'!AB18&amp;"," &amp;'Editor 16x24 bits'!AC18&amp;"," &amp;'Editor 16x24 bits'!AD18&amp;"," &amp;'Editor 16x24 bits'!AE18&amp;"," &amp;'Editor 16x24 bits'!AF18&amp;"," &amp;'Editor 16x24 bits'!AG18&amp;"," &amp;'Editor 16x24 bits'!AH18&amp;"," &amp;'Editor 16x24 bits'!AI18&amp;"," &amp;'Editor 16x24 bits'!AJ18&amp;"," &amp;'Editor 16x24 bits'!AK18&amp;"," &amp;'Editor 16x24 bits'!AL18&amp;"," &amp;'Editor 16x24 bits'!AM18&amp;"," &amp;'Editor 16x24 bits'!AN18&amp;"," &amp;'Editor 16x24 bits'!AO18&amp;"," &amp;'Editor 16x24 bits'!AP18&amp;"," &amp;'Editor 16x24 bits'!AQ18 &amp; ",  // Character " &amp;    'Editor 16x24 bits'!S18)</f>
        <v>0x0000,0x0FF0,0x1FF8,0x3FFC,0x700E,0x700E,0x700E,0x700E,0x700E,0x700E,0x700E,0x700E,0x700E,0x718E,0x71CE,0x71EE,0x70EE,0x707E,0x7038,0x703C,0x7FFE,0x3FEE,0x1FE6,0x0000,  // Character Q</v>
      </c>
    </row>
    <row r="20" spans="1:1" x14ac:dyDescent="0.25">
      <c r="A20" t="str">
        <f>IF('Editor 16x24 bits'!T19&lt;&gt;"", 'Editor 16x24 bits'!T19 &amp; "," &amp;'Editor 16x24 bits'!U19&amp;"," &amp;'Editor 16x24 bits'!V19&amp;"," &amp;'Editor 16x24 bits'!W19&amp;"," &amp;'Editor 16x24 bits'!X19&amp;"," &amp;'Editor 16x24 bits'!Y19&amp;"," &amp;'Editor 16x24 bits'!Z19&amp;"," &amp;'Editor 16x24 bits'!AA19&amp;"," &amp;'Editor 16x24 bits'!AB19&amp;"," &amp;'Editor 16x24 bits'!AC19&amp;"," &amp;'Editor 16x24 bits'!AD19&amp;"," &amp;'Editor 16x24 bits'!AE19&amp;"," &amp;'Editor 16x24 bits'!AF19&amp;"," &amp;'Editor 16x24 bits'!AG19&amp;"," &amp;'Editor 16x24 bits'!AH19&amp;"," &amp;'Editor 16x24 bits'!AI19&amp;"," &amp;'Editor 16x24 bits'!AJ19&amp;"," &amp;'Editor 16x24 bits'!AK19&amp;"," &amp;'Editor 16x24 bits'!AL19&amp;"," &amp;'Editor 16x24 bits'!AM19&amp;"," &amp;'Editor 16x24 bits'!AN19&amp;"," &amp;'Editor 16x24 bits'!AO19&amp;"," &amp;'Editor 16x24 bits'!AP19&amp;"," &amp;'Editor 16x24 bits'!AQ19 &amp; ",  // Character " &amp;    'Editor 16x24 bits'!S19)</f>
        <v>0x0000,0x0FF0,0x1FF8,0x3FFC,0x700E,0x700E,0x700E,0x700E,0x700E,0x700E,0x700E,0x700E,0x700C,0x7FFC,0x7FF8,0x7FF0,0x7380,0x71C0,0x70E0,0x7070,0x7038,0x701C,0x700E,0x0000,  // Character R</v>
      </c>
    </row>
    <row r="21" spans="1:1" x14ac:dyDescent="0.25">
      <c r="A21" t="str">
        <f>IF('Editor 16x24 bits'!T20&lt;&gt;"", 'Editor 16x24 bits'!T20 &amp; "," &amp;'Editor 16x24 bits'!U20&amp;"," &amp;'Editor 16x24 bits'!V20&amp;"," &amp;'Editor 16x24 bits'!W20&amp;"," &amp;'Editor 16x24 bits'!X20&amp;"," &amp;'Editor 16x24 bits'!Y20&amp;"," &amp;'Editor 16x24 bits'!Z20&amp;"," &amp;'Editor 16x24 bits'!AA20&amp;"," &amp;'Editor 16x24 bits'!AB20&amp;"," &amp;'Editor 16x24 bits'!AC20&amp;"," &amp;'Editor 16x24 bits'!AD20&amp;"," &amp;'Editor 16x24 bits'!AE20&amp;"," &amp;'Editor 16x24 bits'!AF20&amp;"," &amp;'Editor 16x24 bits'!AG20&amp;"," &amp;'Editor 16x24 bits'!AH20&amp;"," &amp;'Editor 16x24 bits'!AI20&amp;"," &amp;'Editor 16x24 bits'!AJ20&amp;"," &amp;'Editor 16x24 bits'!AK20&amp;"," &amp;'Editor 16x24 bits'!AL20&amp;"," &amp;'Editor 16x24 bits'!AM20&amp;"," &amp;'Editor 16x24 bits'!AN20&amp;"," &amp;'Editor 16x24 bits'!AO20&amp;"," &amp;'Editor 16x24 bits'!AP20&amp;"," &amp;'Editor 16x24 bits'!AQ20 &amp; ",  // Character " &amp;    'Editor 16x24 bits'!S20)</f>
        <v>0x0000,0x0FF0,0x1FF8,0x3FFC,0x781C,0x700C,0x7000,0x7000,0x7000,0x7000,0x7000,0x7000,0x7000,0x3FE0,0x1FF0,0x0FF8,0x000C,0x000C,0x000C,0x601C,0x7FF8,0x3FF8,0x1FF0,0x0000,  // Character S</v>
      </c>
    </row>
    <row r="22" spans="1:1" x14ac:dyDescent="0.25">
      <c r="A22" t="str">
        <f>IF('Editor 16x24 bits'!T21&lt;&gt;"", 'Editor 16x24 bits'!T21 &amp; "," &amp;'Editor 16x24 bits'!U21&amp;"," &amp;'Editor 16x24 bits'!V21&amp;"," &amp;'Editor 16x24 bits'!W21&amp;"," &amp;'Editor 16x24 bits'!X21&amp;"," &amp;'Editor 16x24 bits'!Y21&amp;"," &amp;'Editor 16x24 bits'!Z21&amp;"," &amp;'Editor 16x24 bits'!AA21&amp;"," &amp;'Editor 16x24 bits'!AB21&amp;"," &amp;'Editor 16x24 bits'!AC21&amp;"," &amp;'Editor 16x24 bits'!AD21&amp;"," &amp;'Editor 16x24 bits'!AE21&amp;"," &amp;'Editor 16x24 bits'!AF21&amp;"," &amp;'Editor 16x24 bits'!AG21&amp;"," &amp;'Editor 16x24 bits'!AH21&amp;"," &amp;'Editor 16x24 bits'!AI21&amp;"," &amp;'Editor 16x24 bits'!AJ21&amp;"," &amp;'Editor 16x24 bits'!AK21&amp;"," &amp;'Editor 16x24 bits'!AL21&amp;"," &amp;'Editor 16x24 bits'!AM21&amp;"," &amp;'Editor 16x24 bits'!AN21&amp;"," &amp;'Editor 16x24 bits'!AO21&amp;"," &amp;'Editor 16x24 bits'!AP21&amp;"," &amp;'Editor 16x24 bits'!AQ21 &amp; ",  // Character " &amp;    'Editor 16x24 bits'!S21)</f>
        <v>0x0000,0x7FFE,0x7FFE,0x7FFE,0x7FFE,0x03C0,0x03C0,0x03C0,0x03C0,0x03C0,0x03C0,0x03C0,0x03C0,0x03C0,0x03C0,0x03C0,0x03C0,0x03C0,0x03C0,0x03C0,0x03C0,0x03C0,0x03C0,0x0000,  // Character T</v>
      </c>
    </row>
    <row r="23" spans="1:1" x14ac:dyDescent="0.25">
      <c r="A23" t="str">
        <f>IF('Editor 16x24 bits'!T22&lt;&gt;"", 'Editor 16x24 bits'!T22 &amp; "," &amp;'Editor 16x24 bits'!U22&amp;"," &amp;'Editor 16x24 bits'!V22&amp;"," &amp;'Editor 16x24 bits'!W22&amp;"," &amp;'Editor 16x24 bits'!X22&amp;"," &amp;'Editor 16x24 bits'!Y22&amp;"," &amp;'Editor 16x24 bits'!Z22&amp;"," &amp;'Editor 16x24 bits'!AA22&amp;"," &amp;'Editor 16x24 bits'!AB22&amp;"," &amp;'Editor 16x24 bits'!AC22&amp;"," &amp;'Editor 16x24 bits'!AD22&amp;"," &amp;'Editor 16x24 bits'!AE22&amp;"," &amp;'Editor 16x24 bits'!AF22&amp;"," &amp;'Editor 16x24 bits'!AG22&amp;"," &amp;'Editor 16x24 bits'!AH22&amp;"," &amp;'Editor 16x24 bits'!AI22&amp;"," &amp;'Editor 16x24 bits'!AJ22&amp;"," &amp;'Editor 16x24 bits'!AK22&amp;"," &amp;'Editor 16x24 bits'!AL22&amp;"," &amp;'Editor 16x24 bits'!AM22&amp;"," &amp;'Editor 16x24 bits'!AN22&amp;"," &amp;'Editor 16x24 bits'!AO22&amp;"," &amp;'Editor 16x24 bits'!AP22&amp;"," &amp;'Editor 16x24 bits'!AQ22 &amp; ",  // Character " &amp;    'Editor 16x24 bits'!S22)</f>
        <v>0x0000,0x700E,0x700E,0x700E,0x700E,0x700E,0x700E,0x700E,0x700E,0x700E,0x700E,0x700E,0x700E,0x700E,0x700E,0x700E,0x700E,0x700E,0x700E,0x781E,0x7FFC,0x3FF8,0x1FF0,0x0000,  // Character U</v>
      </c>
    </row>
    <row r="24" spans="1:1" x14ac:dyDescent="0.25">
      <c r="A24" t="str">
        <f>IF('Editor 16x24 bits'!T23&lt;&gt;"", 'Editor 16x24 bits'!T23 &amp; "," &amp;'Editor 16x24 bits'!U23&amp;"," &amp;'Editor 16x24 bits'!V23&amp;"," &amp;'Editor 16x24 bits'!W23&amp;"," &amp;'Editor 16x24 bits'!X23&amp;"," &amp;'Editor 16x24 bits'!Y23&amp;"," &amp;'Editor 16x24 bits'!Z23&amp;"," &amp;'Editor 16x24 bits'!AA23&amp;"," &amp;'Editor 16x24 bits'!AB23&amp;"," &amp;'Editor 16x24 bits'!AC23&amp;"," &amp;'Editor 16x24 bits'!AD23&amp;"," &amp;'Editor 16x24 bits'!AE23&amp;"," &amp;'Editor 16x24 bits'!AF23&amp;"," &amp;'Editor 16x24 bits'!AG23&amp;"," &amp;'Editor 16x24 bits'!AH23&amp;"," &amp;'Editor 16x24 bits'!AI23&amp;"," &amp;'Editor 16x24 bits'!AJ23&amp;"," &amp;'Editor 16x24 bits'!AK23&amp;"," &amp;'Editor 16x24 bits'!AL23&amp;"," &amp;'Editor 16x24 bits'!AM23&amp;"," &amp;'Editor 16x24 bits'!AN23&amp;"," &amp;'Editor 16x24 bits'!AO23&amp;"," &amp;'Editor 16x24 bits'!AP23&amp;"," &amp;'Editor 16x24 bits'!AQ23 &amp; ",  // Character " &amp;    'Editor 16x24 bits'!S23)</f>
        <v>0x0000,0x781E,0x781E,0x381C,0x381C,0x381C,0x381C,0x381C,0x381C,0x381C,0x381C,0x381C,0x381C,0x381C,0x381C,0x381C,0x1C38,0x1C38,0x1C38,0x0E70,0x0FF0,0x0FF0,0x03C0,0x0000,  // Character V</v>
      </c>
    </row>
    <row r="25" spans="1:1" x14ac:dyDescent="0.25">
      <c r="A25" t="str">
        <f>IF('Editor 16x24 bits'!T24&lt;&gt;"", 'Editor 16x24 bits'!T24 &amp; "," &amp;'Editor 16x24 bits'!U24&amp;"," &amp;'Editor 16x24 bits'!V24&amp;"," &amp;'Editor 16x24 bits'!W24&amp;"," &amp;'Editor 16x24 bits'!X24&amp;"," &amp;'Editor 16x24 bits'!Y24&amp;"," &amp;'Editor 16x24 bits'!Z24&amp;"," &amp;'Editor 16x24 bits'!AA24&amp;"," &amp;'Editor 16x24 bits'!AB24&amp;"," &amp;'Editor 16x24 bits'!AC24&amp;"," &amp;'Editor 16x24 bits'!AD24&amp;"," &amp;'Editor 16x24 bits'!AE24&amp;"," &amp;'Editor 16x24 bits'!AF24&amp;"," &amp;'Editor 16x24 bits'!AG24&amp;"," &amp;'Editor 16x24 bits'!AH24&amp;"," &amp;'Editor 16x24 bits'!AI24&amp;"," &amp;'Editor 16x24 bits'!AJ24&amp;"," &amp;'Editor 16x24 bits'!AK24&amp;"," &amp;'Editor 16x24 bits'!AL24&amp;"," &amp;'Editor 16x24 bits'!AM24&amp;"," &amp;'Editor 16x24 bits'!AN24&amp;"," &amp;'Editor 16x24 bits'!AO24&amp;"," &amp;'Editor 16x24 bits'!AP24&amp;"," &amp;'Editor 16x24 bits'!AQ24 &amp; ",  // Character " &amp;    'Editor 16x24 bits'!S24)</f>
        <v>0x0000,0x700E,0x700E,0x700E,0x700E,0x700E,0x700E,0x700E,0x700E,0x700E,0x700E,0x700E,0x700E,0x700E,0x700E,0x700E,0x718E,0x73CE,0x77EE,0x7E7E,0x7C3E,0x781E,0x700E,0x0000,  // Character W</v>
      </c>
    </row>
    <row r="26" spans="1:1" x14ac:dyDescent="0.25">
      <c r="A26" t="str">
        <f>IF('Editor 16x24 bits'!T25&lt;&gt;"", 'Editor 16x24 bits'!T25 &amp; "," &amp;'Editor 16x24 bits'!U25&amp;"," &amp;'Editor 16x24 bits'!V25&amp;"," &amp;'Editor 16x24 bits'!W25&amp;"," &amp;'Editor 16x24 bits'!X25&amp;"," &amp;'Editor 16x24 bits'!Y25&amp;"," &amp;'Editor 16x24 bits'!Z25&amp;"," &amp;'Editor 16x24 bits'!AA25&amp;"," &amp;'Editor 16x24 bits'!AB25&amp;"," &amp;'Editor 16x24 bits'!AC25&amp;"," &amp;'Editor 16x24 bits'!AD25&amp;"," &amp;'Editor 16x24 bits'!AE25&amp;"," &amp;'Editor 16x24 bits'!AF25&amp;"," &amp;'Editor 16x24 bits'!AG25&amp;"," &amp;'Editor 16x24 bits'!AH25&amp;"," &amp;'Editor 16x24 bits'!AI25&amp;"," &amp;'Editor 16x24 bits'!AJ25&amp;"," &amp;'Editor 16x24 bits'!AK25&amp;"," &amp;'Editor 16x24 bits'!AL25&amp;"," &amp;'Editor 16x24 bits'!AM25&amp;"," &amp;'Editor 16x24 bits'!AN25&amp;"," &amp;'Editor 16x24 bits'!AO25&amp;"," &amp;'Editor 16x24 bits'!AP25&amp;"," &amp;'Editor 16x24 bits'!AQ25 &amp; ",  // Character " &amp;    'Editor 16x24 bits'!S25)</f>
        <v>0x0000,0x700E,0x700E,0x1818,0x1818,0x0810,0x0C30,0x0C30,0x0660,0x03C0,0x03C0,0x0660,0x0660,0x0C30,0x0C30,0x1818,0x1818,0x300C,0x300C,0x300C,0x700E,0x700E,0x700E,0x0000,  // Character X</v>
      </c>
    </row>
    <row r="27" spans="1:1" x14ac:dyDescent="0.25">
      <c r="A27" t="str">
        <f>IF('Editor 16x24 bits'!T26&lt;&gt;"", 'Editor 16x24 bits'!T26 &amp; "," &amp;'Editor 16x24 bits'!U26&amp;"," &amp;'Editor 16x24 bits'!V26&amp;"," &amp;'Editor 16x24 bits'!W26&amp;"," &amp;'Editor 16x24 bits'!X26&amp;"," &amp;'Editor 16x24 bits'!Y26&amp;"," &amp;'Editor 16x24 bits'!Z26&amp;"," &amp;'Editor 16x24 bits'!AA26&amp;"," &amp;'Editor 16x24 bits'!AB26&amp;"," &amp;'Editor 16x24 bits'!AC26&amp;"," &amp;'Editor 16x24 bits'!AD26&amp;"," &amp;'Editor 16x24 bits'!AE26&amp;"," &amp;'Editor 16x24 bits'!AF26&amp;"," &amp;'Editor 16x24 bits'!AG26&amp;"," &amp;'Editor 16x24 bits'!AH26&amp;"," &amp;'Editor 16x24 bits'!AI26&amp;"," &amp;'Editor 16x24 bits'!AJ26&amp;"," &amp;'Editor 16x24 bits'!AK26&amp;"," &amp;'Editor 16x24 bits'!AL26&amp;"," &amp;'Editor 16x24 bits'!AM26&amp;"," &amp;'Editor 16x24 bits'!AN26&amp;"," &amp;'Editor 16x24 bits'!AO26&amp;"," &amp;'Editor 16x24 bits'!AP26&amp;"," &amp;'Editor 16x24 bits'!AQ26 &amp; ",  // Character " &amp;    'Editor 16x24 bits'!S26)</f>
        <v>0x0000,0x700E,0x700E,0x300C,0x1008,0x1818,0x1C38,0x0C30,0x0660,0x0660,0x03C0,0x0180,0x0180,0x0180,0x0180,0x0180,0x0180,0x0180,0x0180,0x0180,0x0180,0x03C0,0x03C0,0x0000,  // Character Y</v>
      </c>
    </row>
    <row r="28" spans="1:1" x14ac:dyDescent="0.25">
      <c r="A28" t="str">
        <f>IF('Editor 16x24 bits'!T27&lt;&gt;"", 'Editor 16x24 bits'!T27 &amp; "," &amp;'Editor 16x24 bits'!U27&amp;"," &amp;'Editor 16x24 bits'!V27&amp;"," &amp;'Editor 16x24 bits'!W27&amp;"," &amp;'Editor 16x24 bits'!X27&amp;"," &amp;'Editor 16x24 bits'!Y27&amp;"," &amp;'Editor 16x24 bits'!Z27&amp;"," &amp;'Editor 16x24 bits'!AA27&amp;"," &amp;'Editor 16x24 bits'!AB27&amp;"," &amp;'Editor 16x24 bits'!AC27&amp;"," &amp;'Editor 16x24 bits'!AD27&amp;"," &amp;'Editor 16x24 bits'!AE27&amp;"," &amp;'Editor 16x24 bits'!AF27&amp;"," &amp;'Editor 16x24 bits'!AG27&amp;"," &amp;'Editor 16x24 bits'!AH27&amp;"," &amp;'Editor 16x24 bits'!AI27&amp;"," &amp;'Editor 16x24 bits'!AJ27&amp;"," &amp;'Editor 16x24 bits'!AK27&amp;"," &amp;'Editor 16x24 bits'!AL27&amp;"," &amp;'Editor 16x24 bits'!AM27&amp;"," &amp;'Editor 16x24 bits'!AN27&amp;"," &amp;'Editor 16x24 bits'!AO27&amp;"," &amp;'Editor 16x24 bits'!AP27&amp;"," &amp;'Editor 16x24 bits'!AQ27 &amp; ",  // Character " &amp;    'Editor 16x24 bits'!S27)</f>
        <v>0x0000,0x7FFE,0x7FFE,0x000E,0x000E,0x000E,0x001C,0x0038,0x0070,0x00E0,0x01C0,0x3FFC,0x3FFC,0x3FFC,0x0700,0x0E00,0x1C00,0x3800,0x7000,0x7000,0x7FFE,0x7FFE,0x7FFE,0x0000,  // Character Z</v>
      </c>
    </row>
    <row r="29" spans="1:1" x14ac:dyDescent="0.25">
      <c r="A29" t="str">
        <f>IF('Editor 16x24 bits'!T28&lt;&gt;"", 'Editor 16x24 bits'!T28 &amp; "," &amp;'Editor 16x24 bits'!U28&amp;"," &amp;'Editor 16x24 bits'!V28&amp;"," &amp;'Editor 16x24 bits'!W28&amp;"," &amp;'Editor 16x24 bits'!X28&amp;"," &amp;'Editor 16x24 bits'!Y28&amp;"," &amp;'Editor 16x24 bits'!Z28&amp;"," &amp;'Editor 16x24 bits'!AA28&amp;"," &amp;'Editor 16x24 bits'!AB28&amp;"," &amp;'Editor 16x24 bits'!AC28&amp;"," &amp;'Editor 16x24 bits'!AD28&amp;"," &amp;'Editor 16x24 bits'!AE28&amp;"," &amp;'Editor 16x24 bits'!AF28&amp;"," &amp;'Editor 16x24 bits'!AG28&amp;"," &amp;'Editor 16x24 bits'!AH28&amp;"," &amp;'Editor 16x24 bits'!AI28&amp;"," &amp;'Editor 16x24 bits'!AJ28&amp;"," &amp;'Editor 16x24 bits'!AK28&amp;"," &amp;'Editor 16x24 bits'!AL28&amp;"," &amp;'Editor 16x24 bits'!AM28&amp;"," &amp;'Editor 16x24 bits'!AN28&amp;"," &amp;'Editor 16x24 bits'!AO28&amp;"," &amp;'Editor 16x24 bits'!AP28&amp;"," &amp;'Editor 16x24 bits'!AQ28 &amp; ",  // Character " &amp;    'Editor 16x24 bits'!S28)</f>
        <v>0x0000,0x7F00,0x7F00,0x7F00,0x7000,0x7000,0x7000,0x7000,0x7000,0x7000,0x7000,0x7000,0x7000,0x7000,0x7000,0x7000,0x7000,0x7000,0x7000,0x7000,0x7F00,0x7F00,0x7F00,0x0000,  // Character [</v>
      </c>
    </row>
    <row r="30" spans="1:1" x14ac:dyDescent="0.25">
      <c r="A30" t="str">
        <f>IF('Editor 16x24 bits'!T29&lt;&gt;"", 'Editor 16x24 bits'!T29 &amp; "," &amp;'Editor 16x24 bits'!U29&amp;"," &amp;'Editor 16x24 bits'!V29&amp;"," &amp;'Editor 16x24 bits'!W29&amp;"," &amp;'Editor 16x24 bits'!X29&amp;"," &amp;'Editor 16x24 bits'!Y29&amp;"," &amp;'Editor 16x24 bits'!Z29&amp;"," &amp;'Editor 16x24 bits'!AA29&amp;"," &amp;'Editor 16x24 bits'!AB29&amp;"," &amp;'Editor 16x24 bits'!AC29&amp;"," &amp;'Editor 16x24 bits'!AD29&amp;"," &amp;'Editor 16x24 bits'!AE29&amp;"," &amp;'Editor 16x24 bits'!AF29&amp;"," &amp;'Editor 16x24 bits'!AG29&amp;"," &amp;'Editor 16x24 bits'!AH29&amp;"," &amp;'Editor 16x24 bits'!AI29&amp;"," &amp;'Editor 16x24 bits'!AJ29&amp;"," &amp;'Editor 16x24 bits'!AK29&amp;"," &amp;'Editor 16x24 bits'!AL29&amp;"," &amp;'Editor 16x24 bits'!AM29&amp;"," &amp;'Editor 16x24 bits'!AN29&amp;"," &amp;'Editor 16x24 bits'!AO29&amp;"," &amp;'Editor 16x24 bits'!AP29&amp;"," &amp;'Editor 16x24 bits'!AQ29 &amp; ",  // Character " &amp;    'Editor 16x24 bits'!S29)</f>
        <v>0x0000,0x7000,0x7000,0x7800,0x3800,0x3C00,0x1C00,0x1E00,0x0E00,0x0F00,0x0700,0x0780,0x0380,0x03C0,0x01C0,0x01E0,0x00E0,0x00F0,0x0070,0x0078,0x003E,0x003E,0x000E,0x0000,  // Character  \</v>
      </c>
    </row>
    <row r="31" spans="1:1" x14ac:dyDescent="0.25">
      <c r="A31" t="str">
        <f>IF('Editor 16x24 bits'!T30&lt;&gt;"", 'Editor 16x24 bits'!T30 &amp; "," &amp;'Editor 16x24 bits'!U30&amp;"," &amp;'Editor 16x24 bits'!V30&amp;"," &amp;'Editor 16x24 bits'!W30&amp;"," &amp;'Editor 16x24 bits'!X30&amp;"," &amp;'Editor 16x24 bits'!Y30&amp;"," &amp;'Editor 16x24 bits'!Z30&amp;"," &amp;'Editor 16x24 bits'!AA30&amp;"," &amp;'Editor 16x24 bits'!AB30&amp;"," &amp;'Editor 16x24 bits'!AC30&amp;"," &amp;'Editor 16x24 bits'!AD30&amp;"," &amp;'Editor 16x24 bits'!AE30&amp;"," &amp;'Editor 16x24 bits'!AF30&amp;"," &amp;'Editor 16x24 bits'!AG30&amp;"," &amp;'Editor 16x24 bits'!AH30&amp;"," &amp;'Editor 16x24 bits'!AI30&amp;"," &amp;'Editor 16x24 bits'!AJ30&amp;"," &amp;'Editor 16x24 bits'!AK30&amp;"," &amp;'Editor 16x24 bits'!AL30&amp;"," &amp;'Editor 16x24 bits'!AM30&amp;"," &amp;'Editor 16x24 bits'!AN30&amp;"," &amp;'Editor 16x24 bits'!AO30&amp;"," &amp;'Editor 16x24 bits'!AP30&amp;"," &amp;'Editor 16x24 bits'!AQ30 &amp; ",  // Character " &amp;    'Editor 16x24 bits'!S30)</f>
        <v>0x0000,0x00FE,0x00FE,0x00FE,0x000E,0x000E,0x000E,0x000E,0x000E,0x000E,0x000E,0x000E,0x000E,0x000E,0x000E,0x000E,0x000E,0x000E,0x000E,0x000E,0x00FE,0x00FE,0x00FE,0x0000,  // Character ]</v>
      </c>
    </row>
    <row r="32" spans="1:1" x14ac:dyDescent="0.25">
      <c r="A32" t="str">
        <f>IF('Editor 16x24 bits'!T31&lt;&gt;"", 'Editor 16x24 bits'!T31 &amp; "," &amp;'Editor 16x24 bits'!U31&amp;"," &amp;'Editor 16x24 bits'!V31&amp;"," &amp;'Editor 16x24 bits'!W31&amp;"," &amp;'Editor 16x24 bits'!X31&amp;"," &amp;'Editor 16x24 bits'!Y31&amp;"," &amp;'Editor 16x24 bits'!Z31&amp;"," &amp;'Editor 16x24 bits'!AA31&amp;"," &amp;'Editor 16x24 bits'!AB31&amp;"," &amp;'Editor 16x24 bits'!AC31&amp;"," &amp;'Editor 16x24 bits'!AD31&amp;"," &amp;'Editor 16x24 bits'!AE31&amp;"," &amp;'Editor 16x24 bits'!AF31&amp;"," &amp;'Editor 16x24 bits'!AG31&amp;"," &amp;'Editor 16x24 bits'!AH31&amp;"," &amp;'Editor 16x24 bits'!AI31&amp;"," &amp;'Editor 16x24 bits'!AJ31&amp;"," &amp;'Editor 16x24 bits'!AK31&amp;"," &amp;'Editor 16x24 bits'!AL31&amp;"," &amp;'Editor 16x24 bits'!AM31&amp;"," &amp;'Editor 16x24 bits'!AN31&amp;"," &amp;'Editor 16x24 bits'!AO31&amp;"," &amp;'Editor 16x24 bits'!AP31&amp;"," &amp;'Editor 16x24 bits'!AQ31 &amp; ",  // Character " &amp;    'Editor 16x24 bits'!S31)</f>
        <v>0x0000,0x0000,0x0180,0x03C0,0x07E0,0x0E70,0x0C30,0x0810,0x0000,0x0000,0x0000,0x0000,0x0000,0x0000,0x0000,0x0000,0x0000,0x0000,0x0000,0x0000,0x0000,0x0000,0x0000,0x0000,  // Character ^</v>
      </c>
    </row>
    <row r="33" spans="1:1" x14ac:dyDescent="0.25">
      <c r="A33" t="str">
        <f>IF('Editor 16x24 bits'!T32&lt;&gt;"", 'Editor 16x24 bits'!T32 &amp; "," &amp;'Editor 16x24 bits'!U32&amp;"," &amp;'Editor 16x24 bits'!V32&amp;"," &amp;'Editor 16x24 bits'!W32&amp;"," &amp;'Editor 16x24 bits'!X32&amp;"," &amp;'Editor 16x24 bits'!Y32&amp;"," &amp;'Editor 16x24 bits'!Z32&amp;"," &amp;'Editor 16x24 bits'!AA32&amp;"," &amp;'Editor 16x24 bits'!AB32&amp;"," &amp;'Editor 16x24 bits'!AC32&amp;"," &amp;'Editor 16x24 bits'!AD32&amp;"," &amp;'Editor 16x24 bits'!AE32&amp;"," &amp;'Editor 16x24 bits'!AF32&amp;"," &amp;'Editor 16x24 bits'!AG32&amp;"," &amp;'Editor 16x24 bits'!AH32&amp;"," &amp;'Editor 16x24 bits'!AI32&amp;"," &amp;'Editor 16x24 bits'!AJ32&amp;"," &amp;'Editor 16x24 bits'!AK32&amp;"," &amp;'Editor 16x24 bits'!AL32&amp;"," &amp;'Editor 16x24 bits'!AM32&amp;"," &amp;'Editor 16x24 bits'!AN32&amp;"," &amp;'Editor 16x24 bits'!AO32&amp;"," &amp;'Editor 16x24 bits'!AP32&amp;"," &amp;'Editor 16x24 bits'!AQ32 &amp; ",  // Character " &amp;    'Editor 16x24 bits'!S32)</f>
        <v>0x0000,0x0000,0x0000,0x0000,0x0000,0x0000,0x0000,0x0000,0x0000,0x0000,0x0000,0x0000,0x0000,0x0000,0x0000,0x0000,0x0000,0x0000,0x0000,0x0000,0x7FFE,0x7FFE,0x7FFE,0x0000,  // Character _</v>
      </c>
    </row>
    <row r="34" spans="1:1" x14ac:dyDescent="0.25">
      <c r="A34" t="str">
        <f>IF('Editor 16x24 bits'!T33&lt;&gt;"", 'Editor 16x24 bits'!T33 &amp; "," &amp;'Editor 16x24 bits'!U33&amp;"," &amp;'Editor 16x24 bits'!V33&amp;"," &amp;'Editor 16x24 bits'!W33&amp;"," &amp;'Editor 16x24 bits'!X33&amp;"," &amp;'Editor 16x24 bits'!Y33&amp;"," &amp;'Editor 16x24 bits'!Z33&amp;"," &amp;'Editor 16x24 bits'!AA33&amp;"," &amp;'Editor 16x24 bits'!AB33&amp;"," &amp;'Editor 16x24 bits'!AC33&amp;"," &amp;'Editor 16x24 bits'!AD33&amp;"," &amp;'Editor 16x24 bits'!AE33&amp;"," &amp;'Editor 16x24 bits'!AF33&amp;"," &amp;'Editor 16x24 bits'!AG33&amp;"," &amp;'Editor 16x24 bits'!AH33&amp;"," &amp;'Editor 16x24 bits'!AI33&amp;"," &amp;'Editor 16x24 bits'!AJ33&amp;"," &amp;'Editor 16x24 bits'!AK33&amp;"," &amp;'Editor 16x24 bits'!AL33&amp;"," &amp;'Editor 16x24 bits'!AM33&amp;"," &amp;'Editor 16x24 bits'!AN33&amp;"," &amp;'Editor 16x24 bits'!AO33&amp;"," &amp;'Editor 16x24 bits'!AP33&amp;"," &amp;'Editor 16x24 bits'!AQ33 &amp; ",  // Character " &amp;    'Editor 16x24 bits'!S33)</f>
        <v>0x0000,0x7000,0x3800,0x1C00,0x0E00,0x0700,0x0380,0x0000,0x0000,0x0000,0x0000,0x0000,0x0000,0x0000,0x0000,0x0000,0x0000,0x0000,0x0000,0x0000,0x0000,0x0000,0x0000,0x0000,  // Character `</v>
      </c>
    </row>
    <row r="36" spans="1:1" x14ac:dyDescent="0.25">
      <c r="A36" t="s">
        <v>43</v>
      </c>
    </row>
  </sheetData>
  <mergeCells count="1">
    <mergeCell ref="E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Editor 16x24 bits</vt:lpstr>
      <vt:lpstr>VECTOR</vt:lpstr>
      <vt:lpstr>FILA1</vt:lpstr>
      <vt:lpstr>FILA2</vt:lpstr>
      <vt:lpstr>FILA3</vt:lpstr>
      <vt:lpstr>FILA4</vt:lpstr>
      <vt:lpstr>Row0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romy bompart</dc:creator>
  <cp:lastModifiedBy>Romy Bompart</cp:lastModifiedBy>
  <dcterms:created xsi:type="dcterms:W3CDTF">2014-01-16T03:43:36Z</dcterms:created>
  <dcterms:modified xsi:type="dcterms:W3CDTF">2014-03-13T20:29:02Z</dcterms:modified>
</cp:coreProperties>
</file>